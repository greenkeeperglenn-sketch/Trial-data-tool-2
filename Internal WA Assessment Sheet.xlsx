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Trial A-Z\S\STRI\2025\Internal Wetting Agent Trial\Results\"/>
    </mc:Choice>
  </mc:AlternateContent>
  <xr:revisionPtr revIDLastSave="0" documentId="13_ncr:1_{D26EB8B5-790C-4F66-84D8-270A7F5E4E45}" xr6:coauthVersionLast="47" xr6:coauthVersionMax="47" xr10:uidLastSave="{00000000-0000-0000-0000-000000000000}"/>
  <bookViews>
    <workbookView xWindow="28680" yWindow="3060" windowWidth="29040" windowHeight="15720" firstSheet="7" activeTab="14" xr2:uid="{00000000-000D-0000-FFFF-FFFF00000000}"/>
  </bookViews>
  <sheets>
    <sheet name="Pre-app ass" sheetId="1" r:id="rId1"/>
    <sheet name="14DAT1 - 27.03.25" sheetId="2" r:id="rId2"/>
    <sheet name="28DAT1 - 10.04.25" sheetId="3" r:id="rId3"/>
    <sheet name="14DAT2 - 23.04.25" sheetId="4" r:id="rId4"/>
    <sheet name="28DAT2 - 08.05.25" sheetId="5" r:id="rId5"/>
    <sheet name="Extra Ass. 15.05.25" sheetId="6" r:id="rId6"/>
    <sheet name="14DAT3 - 20.05.25" sheetId="7" r:id="rId7"/>
    <sheet name="28DAT3 - 02.06.25" sheetId="8" r:id="rId8"/>
    <sheet name="16.06.25" sheetId="10" r:id="rId9"/>
    <sheet name="30.06.25" sheetId="11" r:id="rId10"/>
    <sheet name="14.07.25" sheetId="12" r:id="rId11"/>
    <sheet name="31.07.25" sheetId="13" r:id="rId12"/>
    <sheet name="11.08.25" sheetId="14" r:id="rId13"/>
    <sheet name="12.09.25" sheetId="15" r:id="rId14"/>
    <sheet name="26.09.25" sheetId="16" r:id="rId15"/>
    <sheet name="spare empty" sheetId="9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6" i="16" l="1"/>
  <c r="M55" i="16"/>
  <c r="M54" i="16"/>
  <c r="M53" i="16"/>
  <c r="M52" i="16"/>
  <c r="M51" i="16"/>
  <c r="M49" i="16"/>
  <c r="M48" i="16"/>
  <c r="M47" i="16"/>
  <c r="M46" i="16"/>
  <c r="M45" i="16"/>
  <c r="M44" i="16"/>
  <c r="M43" i="16"/>
  <c r="M42" i="16"/>
  <c r="M41" i="16"/>
  <c r="M39" i="16"/>
  <c r="M38" i="16"/>
  <c r="M37" i="16"/>
  <c r="M36" i="16"/>
  <c r="M35" i="16"/>
  <c r="M34" i="16"/>
  <c r="M33" i="16"/>
  <c r="M32" i="16"/>
  <c r="M31" i="16"/>
  <c r="M30" i="16"/>
  <c r="M29" i="16"/>
  <c r="M28" i="16"/>
  <c r="M27" i="16"/>
  <c r="M26" i="16"/>
  <c r="M25" i="16"/>
  <c r="M24" i="16"/>
  <c r="M22" i="16"/>
  <c r="M21" i="16"/>
  <c r="M20" i="16"/>
  <c r="M19" i="16"/>
  <c r="M18" i="16"/>
  <c r="M17" i="16"/>
  <c r="M16" i="16"/>
  <c r="M15" i="16"/>
  <c r="M14" i="16"/>
  <c r="M12" i="16"/>
  <c r="M11" i="16"/>
  <c r="M10" i="16"/>
  <c r="M9" i="16"/>
  <c r="M56" i="15"/>
  <c r="M55" i="15"/>
  <c r="M54" i="15"/>
  <c r="M53" i="15"/>
  <c r="M52" i="15"/>
  <c r="M51" i="15"/>
  <c r="M49" i="15"/>
  <c r="M48" i="15"/>
  <c r="M47" i="15"/>
  <c r="M46" i="15"/>
  <c r="M45" i="15"/>
  <c r="M44" i="15"/>
  <c r="M43" i="15"/>
  <c r="M42" i="15"/>
  <c r="M41" i="15"/>
  <c r="M39" i="15"/>
  <c r="M38" i="15"/>
  <c r="M37" i="15"/>
  <c r="M36" i="15"/>
  <c r="M35" i="15"/>
  <c r="M34" i="15"/>
  <c r="M33" i="15"/>
  <c r="M32" i="15"/>
  <c r="M31" i="15"/>
  <c r="M30" i="15"/>
  <c r="M29" i="15"/>
  <c r="M28" i="15"/>
  <c r="M27" i="15"/>
  <c r="M26" i="15"/>
  <c r="M25" i="15"/>
  <c r="M24" i="15"/>
  <c r="M22" i="15"/>
  <c r="M21" i="15"/>
  <c r="M20" i="15"/>
  <c r="M19" i="15"/>
  <c r="M18" i="15"/>
  <c r="M17" i="15"/>
  <c r="M16" i="15"/>
  <c r="M15" i="15"/>
  <c r="M14" i="15"/>
  <c r="M12" i="15"/>
  <c r="M11" i="15"/>
  <c r="M10" i="15"/>
  <c r="M9" i="15"/>
  <c r="M56" i="14" l="1"/>
  <c r="M55" i="14"/>
  <c r="M54" i="14"/>
  <c r="M53" i="14"/>
  <c r="M52" i="14"/>
  <c r="M51" i="14"/>
  <c r="M49" i="14"/>
  <c r="M48" i="14"/>
  <c r="M47" i="14"/>
  <c r="M46" i="14"/>
  <c r="M45" i="14"/>
  <c r="M44" i="14"/>
  <c r="M43" i="14"/>
  <c r="M42" i="14"/>
  <c r="M41" i="14"/>
  <c r="M39" i="14"/>
  <c r="M38" i="14"/>
  <c r="M37" i="14"/>
  <c r="M36" i="14"/>
  <c r="M35" i="14"/>
  <c r="M34" i="14"/>
  <c r="M33" i="14"/>
  <c r="M32" i="14"/>
  <c r="M31" i="14"/>
  <c r="M30" i="14"/>
  <c r="M29" i="14"/>
  <c r="M28" i="14"/>
  <c r="M27" i="14"/>
  <c r="M26" i="14"/>
  <c r="M25" i="14"/>
  <c r="M24" i="14"/>
  <c r="M22" i="14"/>
  <c r="M21" i="14"/>
  <c r="M20" i="14"/>
  <c r="M19" i="14"/>
  <c r="M18" i="14"/>
  <c r="M17" i="14"/>
  <c r="M16" i="14"/>
  <c r="M15" i="14"/>
  <c r="M14" i="14"/>
  <c r="M12" i="14"/>
  <c r="M11" i="14"/>
  <c r="M10" i="14"/>
  <c r="M9" i="14"/>
  <c r="M42" i="13"/>
  <c r="M43" i="13"/>
  <c r="M44" i="13"/>
  <c r="M45" i="13"/>
  <c r="M46" i="13"/>
  <c r="M47" i="13"/>
  <c r="M48" i="13"/>
  <c r="M49" i="13"/>
  <c r="M41" i="13"/>
  <c r="M56" i="13"/>
  <c r="M55" i="13"/>
  <c r="M54" i="13"/>
  <c r="M53" i="13"/>
  <c r="M52" i="13"/>
  <c r="M51" i="13"/>
  <c r="M39" i="13"/>
  <c r="M38" i="13"/>
  <c r="M37" i="13"/>
  <c r="M36" i="13"/>
  <c r="M35" i="13"/>
  <c r="M34" i="13"/>
  <c r="M33" i="13"/>
  <c r="M32" i="13"/>
  <c r="M31" i="13"/>
  <c r="M30" i="13"/>
  <c r="M29" i="13"/>
  <c r="M28" i="13"/>
  <c r="M27" i="13"/>
  <c r="M26" i="13"/>
  <c r="M25" i="13"/>
  <c r="M24" i="13"/>
  <c r="M22" i="13"/>
  <c r="M21" i="13"/>
  <c r="M20" i="13"/>
  <c r="M19" i="13"/>
  <c r="M18" i="13"/>
  <c r="M17" i="13"/>
  <c r="M16" i="13"/>
  <c r="M15" i="13"/>
  <c r="M14" i="13"/>
  <c r="M12" i="13"/>
  <c r="M11" i="13"/>
  <c r="M10" i="13"/>
  <c r="M9" i="13"/>
  <c r="M56" i="12" l="1"/>
  <c r="M55" i="12"/>
  <c r="M54" i="12"/>
  <c r="M53" i="12"/>
  <c r="M52" i="12"/>
  <c r="M51" i="12"/>
  <c r="M49" i="12"/>
  <c r="M48" i="12"/>
  <c r="M47" i="12"/>
  <c r="M46" i="12"/>
  <c r="M45" i="12"/>
  <c r="M44" i="12"/>
  <c r="M43" i="12"/>
  <c r="M42" i="12"/>
  <c r="M41" i="12"/>
  <c r="M39" i="12"/>
  <c r="M38" i="12"/>
  <c r="M37" i="12"/>
  <c r="M36" i="12"/>
  <c r="M35" i="12"/>
  <c r="M34" i="12"/>
  <c r="M33" i="12"/>
  <c r="M32" i="12"/>
  <c r="M31" i="12"/>
  <c r="M30" i="12"/>
  <c r="M29" i="12"/>
  <c r="M28" i="12"/>
  <c r="M27" i="12"/>
  <c r="M26" i="12"/>
  <c r="M25" i="12"/>
  <c r="M24" i="12"/>
  <c r="M22" i="12"/>
  <c r="M21" i="12"/>
  <c r="M20" i="12"/>
  <c r="M19" i="12"/>
  <c r="M18" i="12"/>
  <c r="M17" i="12"/>
  <c r="M16" i="12"/>
  <c r="M15" i="12"/>
  <c r="M14" i="12"/>
  <c r="M12" i="12"/>
  <c r="M11" i="12"/>
  <c r="M10" i="12"/>
  <c r="M9" i="12"/>
  <c r="M56" i="11" l="1"/>
  <c r="M55" i="11"/>
  <c r="M54" i="11"/>
  <c r="M53" i="11"/>
  <c r="M52" i="11"/>
  <c r="M51" i="11"/>
  <c r="M49" i="11"/>
  <c r="M48" i="11"/>
  <c r="M47" i="11"/>
  <c r="M46" i="11"/>
  <c r="M45" i="11"/>
  <c r="M44" i="11"/>
  <c r="M43" i="11"/>
  <c r="M42" i="11"/>
  <c r="M41" i="11"/>
  <c r="M39" i="11"/>
  <c r="M38" i="11"/>
  <c r="M37" i="11"/>
  <c r="M36" i="11"/>
  <c r="M35" i="11"/>
  <c r="M34" i="11"/>
  <c r="M33" i="11"/>
  <c r="M32" i="11"/>
  <c r="M31" i="11"/>
  <c r="M30" i="11"/>
  <c r="M29" i="11"/>
  <c r="M28" i="11"/>
  <c r="M27" i="11"/>
  <c r="M26" i="11"/>
  <c r="M25" i="11"/>
  <c r="M24" i="11"/>
  <c r="M22" i="11"/>
  <c r="M21" i="11"/>
  <c r="M20" i="11"/>
  <c r="M19" i="11"/>
  <c r="M18" i="11"/>
  <c r="M17" i="11"/>
  <c r="M16" i="11"/>
  <c r="M15" i="11"/>
  <c r="M14" i="11"/>
  <c r="M12" i="11"/>
  <c r="M11" i="11"/>
  <c r="M10" i="11"/>
  <c r="M9" i="11"/>
  <c r="M42" i="10"/>
  <c r="M43" i="10"/>
  <c r="M44" i="10"/>
  <c r="M41" i="10"/>
  <c r="M34" i="10"/>
  <c r="M35" i="10"/>
  <c r="M36" i="10"/>
  <c r="M37" i="10"/>
  <c r="M38" i="10"/>
  <c r="M39" i="10"/>
  <c r="M33" i="10"/>
  <c r="M52" i="10"/>
  <c r="M53" i="10"/>
  <c r="M54" i="10"/>
  <c r="M55" i="10"/>
  <c r="M56" i="10"/>
  <c r="M51" i="10"/>
  <c r="M46" i="10"/>
  <c r="M47" i="10"/>
  <c r="M48" i="10"/>
  <c r="M49" i="10"/>
  <c r="M45" i="10"/>
  <c r="M25" i="10"/>
  <c r="M26" i="10"/>
  <c r="M27" i="10"/>
  <c r="M28" i="10"/>
  <c r="M29" i="10"/>
  <c r="M30" i="10"/>
  <c r="M31" i="10"/>
  <c r="M32" i="10"/>
  <c r="M24" i="10"/>
  <c r="M22" i="10"/>
  <c r="M21" i="10"/>
  <c r="M17" i="10"/>
  <c r="M14" i="10"/>
  <c r="M15" i="10"/>
  <c r="M16" i="10"/>
  <c r="M18" i="10"/>
  <c r="M19" i="10"/>
  <c r="M20" i="10"/>
  <c r="M10" i="10"/>
  <c r="M11" i="10"/>
  <c r="M12" i="10"/>
  <c r="M9" i="10"/>
  <c r="M41" i="8"/>
  <c r="M56" i="8"/>
  <c r="M55" i="8"/>
  <c r="M54" i="8"/>
  <c r="M53" i="8"/>
  <c r="M52" i="8"/>
  <c r="M51" i="8"/>
  <c r="M49" i="8"/>
  <c r="M48" i="8"/>
  <c r="M47" i="8"/>
  <c r="M46" i="8"/>
  <c r="M45" i="8"/>
  <c r="M44" i="8"/>
  <c r="M43" i="8"/>
  <c r="M42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2" i="8"/>
  <c r="M21" i="8"/>
  <c r="M20" i="8"/>
  <c r="M19" i="8"/>
  <c r="M18" i="8"/>
  <c r="M17" i="8"/>
  <c r="M16" i="8"/>
  <c r="M15" i="8"/>
  <c r="M14" i="8"/>
  <c r="M12" i="8"/>
  <c r="M11" i="8"/>
  <c r="M10" i="8"/>
  <c r="M9" i="8"/>
  <c r="M10" i="7"/>
  <c r="M11" i="7"/>
  <c r="M12" i="7"/>
  <c r="M14" i="7"/>
  <c r="M15" i="7"/>
  <c r="M16" i="7"/>
  <c r="M17" i="7"/>
  <c r="M18" i="7"/>
  <c r="M19" i="7"/>
  <c r="M20" i="7"/>
  <c r="M21" i="7"/>
  <c r="M22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1" i="7"/>
  <c r="M42" i="7"/>
  <c r="M43" i="7"/>
  <c r="M44" i="7"/>
  <c r="M45" i="7"/>
  <c r="M46" i="7"/>
  <c r="M47" i="7"/>
  <c r="M48" i="7"/>
  <c r="M49" i="7"/>
  <c r="M51" i="7"/>
  <c r="M52" i="7"/>
  <c r="M53" i="7"/>
  <c r="M54" i="7"/>
  <c r="M55" i="7"/>
  <c r="M56" i="7"/>
  <c r="M9" i="7"/>
  <c r="M56" i="5"/>
  <c r="M55" i="5"/>
  <c r="M54" i="5"/>
  <c r="M53" i="5"/>
  <c r="M52" i="5"/>
  <c r="M51" i="5"/>
  <c r="M49" i="5"/>
  <c r="M48" i="5"/>
  <c r="M47" i="5"/>
  <c r="M46" i="5"/>
  <c r="M45" i="5"/>
  <c r="M44" i="5"/>
  <c r="M43" i="5"/>
  <c r="M42" i="5"/>
  <c r="M41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2" i="5"/>
  <c r="M21" i="5"/>
  <c r="M20" i="5"/>
  <c r="M19" i="5"/>
  <c r="M18" i="5"/>
  <c r="M17" i="5"/>
  <c r="M16" i="5"/>
  <c r="M15" i="5"/>
  <c r="M14" i="5"/>
  <c r="M12" i="5"/>
  <c r="M11" i="5"/>
  <c r="M10" i="5"/>
  <c r="M9" i="5"/>
  <c r="M56" i="4" l="1"/>
  <c r="M55" i="4"/>
  <c r="M54" i="4"/>
  <c r="M53" i="4"/>
  <c r="M52" i="4"/>
  <c r="M51" i="4"/>
  <c r="M49" i="4"/>
  <c r="M48" i="4"/>
  <c r="M47" i="4"/>
  <c r="M46" i="4"/>
  <c r="M45" i="4"/>
  <c r="M44" i="4"/>
  <c r="M43" i="4"/>
  <c r="M42" i="4"/>
  <c r="M41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2" i="4"/>
  <c r="M21" i="4"/>
  <c r="M20" i="4"/>
  <c r="M19" i="4"/>
  <c r="M18" i="4"/>
  <c r="M17" i="4"/>
  <c r="M16" i="4"/>
  <c r="M15" i="4"/>
  <c r="M14" i="4"/>
  <c r="M12" i="4"/>
  <c r="M11" i="4"/>
  <c r="M10" i="4"/>
  <c r="M9" i="4"/>
  <c r="M56" i="3"/>
  <c r="M55" i="3"/>
  <c r="M54" i="3"/>
  <c r="M53" i="3"/>
  <c r="M52" i="3"/>
  <c r="M51" i="3"/>
  <c r="M49" i="3"/>
  <c r="M48" i="3"/>
  <c r="M47" i="3"/>
  <c r="M46" i="3"/>
  <c r="M45" i="3"/>
  <c r="M44" i="3"/>
  <c r="M43" i="3"/>
  <c r="M42" i="3"/>
  <c r="M41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2" i="3"/>
  <c r="M21" i="3"/>
  <c r="M20" i="3"/>
  <c r="M19" i="3"/>
  <c r="M18" i="3"/>
  <c r="M17" i="3"/>
  <c r="M16" i="3"/>
  <c r="M15" i="3"/>
  <c r="M14" i="3"/>
  <c r="M12" i="3"/>
  <c r="M11" i="3"/>
  <c r="M10" i="3"/>
  <c r="M9" i="3"/>
  <c r="M56" i="2" l="1"/>
  <c r="M55" i="2"/>
  <c r="M54" i="2"/>
  <c r="M53" i="2"/>
  <c r="M52" i="2"/>
  <c r="M51" i="2"/>
  <c r="M49" i="2"/>
  <c r="M48" i="2"/>
  <c r="M47" i="2"/>
  <c r="M46" i="2"/>
  <c r="M45" i="2"/>
  <c r="M44" i="2"/>
  <c r="M43" i="2"/>
  <c r="M42" i="2"/>
  <c r="M41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2" i="2"/>
  <c r="M21" i="2"/>
  <c r="M20" i="2"/>
  <c r="M19" i="2"/>
  <c r="M18" i="2"/>
  <c r="M17" i="2"/>
  <c r="M16" i="2"/>
  <c r="M15" i="2"/>
  <c r="M14" i="2"/>
  <c r="M12" i="2"/>
  <c r="M11" i="2"/>
  <c r="M10" i="2"/>
  <c r="M9" i="2"/>
  <c r="M57" i="1"/>
  <c r="M56" i="1"/>
  <c r="M55" i="1"/>
  <c r="M54" i="1"/>
  <c r="M53" i="1"/>
  <c r="M52" i="1"/>
  <c r="M50" i="1"/>
  <c r="M49" i="1"/>
  <c r="M48" i="1"/>
  <c r="M47" i="1"/>
  <c r="M46" i="1"/>
  <c r="M45" i="1"/>
  <c r="M44" i="1"/>
  <c r="M43" i="1"/>
  <c r="M42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3" i="1"/>
  <c r="M22" i="1"/>
  <c r="M21" i="1"/>
  <c r="M20" i="1"/>
  <c r="M19" i="1"/>
  <c r="M18" i="1"/>
  <c r="M17" i="1"/>
  <c r="M16" i="1"/>
  <c r="M15" i="1"/>
  <c r="M13" i="1"/>
  <c r="M12" i="1"/>
  <c r="M11" i="1"/>
  <c r="M10" i="1"/>
</calcChain>
</file>

<file path=xl/sharedStrings.xml><?xml version="1.0" encoding="utf-8"?>
<sst xmlns="http://schemas.openxmlformats.org/spreadsheetml/2006/main" count="1196" uniqueCount="59">
  <si>
    <t>QC:</t>
  </si>
  <si>
    <t>Plot!</t>
  </si>
  <si>
    <t>Block!</t>
  </si>
  <si>
    <t>Treatment!</t>
  </si>
  <si>
    <t>TQ</t>
  </si>
  <si>
    <t>TC</t>
  </si>
  <si>
    <t>Notes:</t>
  </si>
  <si>
    <t>Trial Code:</t>
  </si>
  <si>
    <t>Trial Name: Internal Wetting Agent Trial</t>
  </si>
  <si>
    <t>Moisture%</t>
  </si>
  <si>
    <t>NDVI</t>
  </si>
  <si>
    <t xml:space="preserve">Assessor: </t>
  </si>
  <si>
    <t xml:space="preserve">Area: </t>
  </si>
  <si>
    <t xml:space="preserve">Date: </t>
  </si>
  <si>
    <t>Drought Severity</t>
  </si>
  <si>
    <t>Dry Patch (%)</t>
  </si>
  <si>
    <t>LGC (%)</t>
  </si>
  <si>
    <t>X</t>
  </si>
  <si>
    <t>VWC1</t>
  </si>
  <si>
    <t>VWC2</t>
  </si>
  <si>
    <t>VWC3</t>
  </si>
  <si>
    <t>Moisture Avg.</t>
  </si>
  <si>
    <t>5..5</t>
  </si>
  <si>
    <t>13.03.25</t>
  </si>
  <si>
    <t>N Bank</t>
  </si>
  <si>
    <t>TS</t>
  </si>
  <si>
    <t>Pre App Ass. Day 1</t>
  </si>
  <si>
    <t>27.03.25</t>
  </si>
  <si>
    <t>.</t>
  </si>
  <si>
    <t>29..8</t>
  </si>
  <si>
    <t>27,4</t>
  </si>
  <si>
    <t>10.04.25</t>
  </si>
  <si>
    <t>Pre-App Assessment</t>
  </si>
  <si>
    <t>23.04.25</t>
  </si>
  <si>
    <t>TS/LG/TG</t>
  </si>
  <si>
    <t>5,5</t>
  </si>
  <si>
    <t>08.05.25</t>
  </si>
  <si>
    <t>Some Damage to plots due to infiltration rings</t>
  </si>
  <si>
    <t>14..8</t>
  </si>
  <si>
    <t>15.05.25</t>
  </si>
  <si>
    <t>Extra ass. Due to significant looking differences</t>
  </si>
  <si>
    <t>20.05.25</t>
  </si>
  <si>
    <t>TG/TS</t>
  </si>
  <si>
    <t>02.06.25</t>
  </si>
  <si>
    <t>Pre app ass.</t>
  </si>
  <si>
    <t>25..9</t>
  </si>
  <si>
    <t>26,3</t>
  </si>
  <si>
    <t>28..5</t>
  </si>
  <si>
    <t>16.06.25</t>
  </si>
  <si>
    <t>TG / LM</t>
  </si>
  <si>
    <t>30.06.25</t>
  </si>
  <si>
    <t>14.07.25</t>
  </si>
  <si>
    <t>31.07.25</t>
  </si>
  <si>
    <t>many mushrooms present on area - low nutrients</t>
  </si>
  <si>
    <t>21..2</t>
  </si>
  <si>
    <t>11.08.25</t>
  </si>
  <si>
    <t>12.09.25</t>
  </si>
  <si>
    <t>Clover</t>
  </si>
  <si>
    <t>26.09.25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</si>
</sst>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/>
    <xf numFmtId="0" fontId="2" fillId="0" borderId="7" xfId="0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zoomScaleNormal="100" workbookViewId="0">
      <selection activeCell="S10" sqref="S10"/>
    </sheetView>
  </sheetViews>
  <sheetFormatPr defaultRowHeight="14.4" x14ac:dyDescent="0.3"/>
  <cols>
    <col min="1" max="1" width="9.88671875" bestFit="1" customWidth="1"/>
    <col min="3" max="3" width="12.88671875" customWidth="1"/>
    <col min="6" max="6" width="10.44140625" customWidth="1"/>
    <col min="7" max="9" width="11.109375" customWidth="1"/>
    <col min="10" max="10" width="12.33203125" bestFit="1" customWidth="1"/>
    <col min="13" max="13" width="12.6640625" bestFit="1" customWidth="1"/>
  </cols>
  <sheetData>
    <row r="1" spans="1:13" x14ac:dyDescent="0.3">
      <c r="A1" t="s">
        <v>7</v>
      </c>
      <c r="C1" t="s">
        <v>8</v>
      </c>
    </row>
    <row r="2" spans="1:13" x14ac:dyDescent="0.3">
      <c r="A2" s="1" t="s">
        <v>13</v>
      </c>
      <c r="B2" t="s">
        <v>23</v>
      </c>
    </row>
    <row r="3" spans="1:13" x14ac:dyDescent="0.3">
      <c r="A3" s="1" t="s">
        <v>12</v>
      </c>
      <c r="B3" t="s">
        <v>24</v>
      </c>
    </row>
    <row r="4" spans="1:13" x14ac:dyDescent="0.3">
      <c r="A4" s="1" t="s">
        <v>11</v>
      </c>
      <c r="B4" t="s">
        <v>25</v>
      </c>
    </row>
    <row r="5" spans="1:13" x14ac:dyDescent="0.3">
      <c r="A5" t="s">
        <v>6</v>
      </c>
      <c r="B5" t="s">
        <v>26</v>
      </c>
    </row>
    <row r="6" spans="1:13" x14ac:dyDescent="0.3">
      <c r="A6" s="1" t="s">
        <v>0</v>
      </c>
    </row>
    <row r="7" spans="1:13" ht="15" thickBot="1" x14ac:dyDescent="0.35">
      <c r="A7" s="1"/>
    </row>
    <row r="8" spans="1:13" ht="15" thickBot="1" x14ac:dyDescent="0.35">
      <c r="A8" s="1"/>
      <c r="J8" s="12"/>
      <c r="K8" s="13" t="s">
        <v>9</v>
      </c>
      <c r="L8" s="14"/>
      <c r="M8" s="15"/>
    </row>
    <row r="9" spans="1:13" ht="15" thickBot="1" x14ac:dyDescent="0.35">
      <c r="A9" s="2" t="s">
        <v>1</v>
      </c>
      <c r="B9" s="3" t="s">
        <v>2</v>
      </c>
      <c r="C9" s="4" t="s">
        <v>3</v>
      </c>
      <c r="D9" s="2" t="s">
        <v>4</v>
      </c>
      <c r="E9" s="3" t="s">
        <v>5</v>
      </c>
      <c r="F9" s="3" t="s">
        <v>16</v>
      </c>
      <c r="G9" s="3" t="s">
        <v>14</v>
      </c>
      <c r="H9" s="3" t="s">
        <v>15</v>
      </c>
      <c r="I9" s="3" t="s">
        <v>10</v>
      </c>
      <c r="J9" s="16" t="s">
        <v>18</v>
      </c>
      <c r="K9" s="16" t="s">
        <v>19</v>
      </c>
      <c r="L9" s="16" t="s">
        <v>20</v>
      </c>
      <c r="M9" s="16" t="s">
        <v>21</v>
      </c>
    </row>
    <row r="10" spans="1:13" x14ac:dyDescent="0.3">
      <c r="A10" s="5">
        <v>1</v>
      </c>
      <c r="B10" s="5">
        <v>1</v>
      </c>
      <c r="C10" s="5">
        <v>8</v>
      </c>
      <c r="D10" s="6">
        <v>6</v>
      </c>
      <c r="E10" s="6">
        <v>5.5</v>
      </c>
      <c r="F10" s="6">
        <v>90</v>
      </c>
      <c r="G10" s="6">
        <v>1</v>
      </c>
      <c r="H10" s="6">
        <v>0</v>
      </c>
      <c r="I10" s="6">
        <v>0.69</v>
      </c>
      <c r="J10" s="6">
        <v>49</v>
      </c>
      <c r="K10" s="6">
        <v>51.4</v>
      </c>
      <c r="L10" s="6">
        <v>52.3</v>
      </c>
      <c r="M10" s="17">
        <f>AVERAGE(J10, K10, L10)</f>
        <v>50.9</v>
      </c>
    </row>
    <row r="11" spans="1:13" x14ac:dyDescent="0.3">
      <c r="A11" s="5">
        <v>2</v>
      </c>
      <c r="B11" s="5">
        <v>1</v>
      </c>
      <c r="C11" s="6">
        <v>9</v>
      </c>
      <c r="D11" s="6">
        <v>6</v>
      </c>
      <c r="E11" s="6">
        <v>6</v>
      </c>
      <c r="F11" s="6">
        <v>89</v>
      </c>
      <c r="G11" s="6">
        <v>1</v>
      </c>
      <c r="H11" s="6">
        <v>0</v>
      </c>
      <c r="I11" s="6">
        <v>0.77</v>
      </c>
      <c r="J11" s="6">
        <v>57.2</v>
      </c>
      <c r="K11" s="6">
        <v>47.8</v>
      </c>
      <c r="L11" s="7">
        <v>46.8</v>
      </c>
      <c r="M11" s="17">
        <f t="shared" ref="M11:M57" si="0">AVERAGE(J11, K11, L11)</f>
        <v>50.6</v>
      </c>
    </row>
    <row r="12" spans="1:13" x14ac:dyDescent="0.3">
      <c r="A12" s="5">
        <v>3</v>
      </c>
      <c r="B12" s="5">
        <v>1</v>
      </c>
      <c r="C12" s="6">
        <v>7</v>
      </c>
      <c r="D12" s="6">
        <v>5.5</v>
      </c>
      <c r="E12" s="6">
        <v>5</v>
      </c>
      <c r="F12" s="6">
        <v>89</v>
      </c>
      <c r="G12" s="6">
        <v>1</v>
      </c>
      <c r="H12" s="6">
        <v>0</v>
      </c>
      <c r="I12" s="6">
        <v>0.71</v>
      </c>
      <c r="J12" s="6">
        <v>54.3</v>
      </c>
      <c r="K12" s="6">
        <v>45.6</v>
      </c>
      <c r="L12" s="6">
        <v>50</v>
      </c>
      <c r="M12" s="17">
        <f t="shared" si="0"/>
        <v>49.966666666666669</v>
      </c>
    </row>
    <row r="13" spans="1:13" x14ac:dyDescent="0.3">
      <c r="A13" s="5">
        <v>4</v>
      </c>
      <c r="B13" s="5">
        <v>1</v>
      </c>
      <c r="C13" s="6">
        <v>3</v>
      </c>
      <c r="D13" s="6">
        <v>6.5</v>
      </c>
      <c r="E13" s="6">
        <v>6</v>
      </c>
      <c r="F13" s="6">
        <v>94</v>
      </c>
      <c r="G13" s="6">
        <v>1</v>
      </c>
      <c r="H13" s="6">
        <v>0</v>
      </c>
      <c r="I13" s="6">
        <v>0.78</v>
      </c>
      <c r="J13" s="6">
        <v>50</v>
      </c>
      <c r="K13" s="6">
        <v>50.2</v>
      </c>
      <c r="L13" s="6">
        <v>50.3</v>
      </c>
      <c r="M13" s="17">
        <f t="shared" si="0"/>
        <v>50.166666666666664</v>
      </c>
    </row>
    <row r="14" spans="1:13" x14ac:dyDescent="0.3">
      <c r="A14" s="11" t="s">
        <v>17</v>
      </c>
      <c r="B14" s="11" t="s">
        <v>17</v>
      </c>
      <c r="C14" s="11" t="s">
        <v>17</v>
      </c>
      <c r="D14" s="11" t="s">
        <v>17</v>
      </c>
      <c r="E14" s="11" t="s">
        <v>17</v>
      </c>
      <c r="F14" s="11" t="s">
        <v>17</v>
      </c>
      <c r="G14" s="11" t="s">
        <v>17</v>
      </c>
      <c r="H14" s="11" t="s">
        <v>17</v>
      </c>
      <c r="I14" s="11" t="s">
        <v>17</v>
      </c>
      <c r="J14" s="11" t="s">
        <v>17</v>
      </c>
      <c r="K14" s="11" t="s">
        <v>17</v>
      </c>
      <c r="L14" s="11" t="s">
        <v>17</v>
      </c>
      <c r="M14" s="18" t="s">
        <v>17</v>
      </c>
    </row>
    <row r="15" spans="1:13" x14ac:dyDescent="0.3">
      <c r="A15" s="5">
        <v>5</v>
      </c>
      <c r="B15" s="5">
        <v>1</v>
      </c>
      <c r="C15" s="6">
        <v>2</v>
      </c>
      <c r="D15" s="6">
        <v>6.5</v>
      </c>
      <c r="E15" s="6">
        <v>6.5</v>
      </c>
      <c r="F15" s="6">
        <v>91</v>
      </c>
      <c r="G15" s="6">
        <v>1</v>
      </c>
      <c r="H15" s="6">
        <v>0</v>
      </c>
      <c r="I15" s="6">
        <v>0.75</v>
      </c>
      <c r="J15" s="6">
        <v>53.3</v>
      </c>
      <c r="K15" s="6">
        <v>48.9</v>
      </c>
      <c r="L15" s="6">
        <v>46.8</v>
      </c>
      <c r="M15" s="17">
        <f t="shared" si="0"/>
        <v>49.666666666666664</v>
      </c>
    </row>
    <row r="16" spans="1:13" x14ac:dyDescent="0.3">
      <c r="A16" s="5">
        <v>6</v>
      </c>
      <c r="B16" s="5">
        <v>1</v>
      </c>
      <c r="C16" s="6">
        <v>10</v>
      </c>
      <c r="D16" s="6">
        <v>5.5</v>
      </c>
      <c r="E16" s="6">
        <v>5.5</v>
      </c>
      <c r="F16" s="6">
        <v>94</v>
      </c>
      <c r="G16" s="6">
        <v>1</v>
      </c>
      <c r="H16" s="6">
        <v>0</v>
      </c>
      <c r="I16" s="6">
        <v>0.72</v>
      </c>
      <c r="J16" s="6">
        <v>52.1</v>
      </c>
      <c r="K16" s="6">
        <v>50.4</v>
      </c>
      <c r="L16" s="6">
        <v>51.8</v>
      </c>
      <c r="M16" s="17">
        <f t="shared" si="0"/>
        <v>51.433333333333337</v>
      </c>
    </row>
    <row r="17" spans="1:13" x14ac:dyDescent="0.3">
      <c r="A17" s="5">
        <v>7</v>
      </c>
      <c r="B17" s="5">
        <v>1</v>
      </c>
      <c r="C17" s="6">
        <v>4</v>
      </c>
      <c r="D17" s="6">
        <v>5.5</v>
      </c>
      <c r="E17" s="6">
        <v>6</v>
      </c>
      <c r="F17" s="6">
        <v>95</v>
      </c>
      <c r="G17" s="6">
        <v>1</v>
      </c>
      <c r="H17" s="6">
        <v>0</v>
      </c>
      <c r="I17" s="6">
        <v>0.68</v>
      </c>
      <c r="J17" s="6">
        <v>55.5</v>
      </c>
      <c r="K17" s="6">
        <v>49.9</v>
      </c>
      <c r="L17" s="6">
        <v>49.4</v>
      </c>
      <c r="M17" s="17">
        <f t="shared" si="0"/>
        <v>51.6</v>
      </c>
    </row>
    <row r="18" spans="1:13" x14ac:dyDescent="0.3">
      <c r="A18" s="5">
        <v>8</v>
      </c>
      <c r="B18" s="5">
        <v>1</v>
      </c>
      <c r="C18" s="6">
        <v>5</v>
      </c>
      <c r="D18" s="6">
        <v>6</v>
      </c>
      <c r="E18" s="6">
        <v>5.5</v>
      </c>
      <c r="F18" s="6">
        <v>90</v>
      </c>
      <c r="G18" s="6">
        <v>1</v>
      </c>
      <c r="H18" s="6">
        <v>0</v>
      </c>
      <c r="I18" s="6">
        <v>0.72</v>
      </c>
      <c r="J18" s="6">
        <v>46.2</v>
      </c>
      <c r="K18" s="6">
        <v>44</v>
      </c>
      <c r="L18" s="6">
        <v>48.6</v>
      </c>
      <c r="M18" s="17">
        <f t="shared" si="0"/>
        <v>46.266666666666673</v>
      </c>
    </row>
    <row r="19" spans="1:13" x14ac:dyDescent="0.3">
      <c r="A19" s="5">
        <v>9</v>
      </c>
      <c r="B19" s="5">
        <v>1</v>
      </c>
      <c r="C19" s="6">
        <v>11</v>
      </c>
      <c r="D19" s="6">
        <v>6</v>
      </c>
      <c r="E19" s="6">
        <v>6</v>
      </c>
      <c r="F19" s="6">
        <v>92</v>
      </c>
      <c r="G19" s="6">
        <v>1</v>
      </c>
      <c r="H19" s="6">
        <v>0</v>
      </c>
      <c r="I19" s="6">
        <v>0.78</v>
      </c>
      <c r="J19" s="6">
        <v>46.2</v>
      </c>
      <c r="K19" s="6">
        <v>4.8</v>
      </c>
      <c r="L19" s="6">
        <v>48.9</v>
      </c>
      <c r="M19" s="17">
        <f t="shared" si="0"/>
        <v>33.300000000000004</v>
      </c>
    </row>
    <row r="20" spans="1:13" x14ac:dyDescent="0.3">
      <c r="A20" s="5">
        <v>10</v>
      </c>
      <c r="B20" s="5">
        <v>1</v>
      </c>
      <c r="C20" s="6">
        <v>1</v>
      </c>
      <c r="D20" s="6">
        <v>6.5</v>
      </c>
      <c r="E20" s="6">
        <v>6.5</v>
      </c>
      <c r="F20" s="6">
        <v>91</v>
      </c>
      <c r="G20" s="6">
        <v>1</v>
      </c>
      <c r="H20" s="6">
        <v>0</v>
      </c>
      <c r="I20" s="6">
        <v>0.77</v>
      </c>
      <c r="J20" s="6">
        <v>48.5</v>
      </c>
      <c r="K20" s="6">
        <v>45.6</v>
      </c>
      <c r="L20" s="6">
        <v>52.1</v>
      </c>
      <c r="M20" s="17">
        <f t="shared" si="0"/>
        <v>48.733333333333327</v>
      </c>
    </row>
    <row r="21" spans="1:13" x14ac:dyDescent="0.3">
      <c r="A21" s="5">
        <v>11</v>
      </c>
      <c r="B21" s="5">
        <v>1</v>
      </c>
      <c r="C21" s="6">
        <v>6</v>
      </c>
      <c r="D21" s="6">
        <v>6</v>
      </c>
      <c r="E21" s="6">
        <v>6</v>
      </c>
      <c r="F21" s="6">
        <v>86</v>
      </c>
      <c r="G21" s="6">
        <v>1</v>
      </c>
      <c r="H21" s="6">
        <v>0</v>
      </c>
      <c r="I21" s="6">
        <v>0.76</v>
      </c>
      <c r="J21" s="6">
        <v>47.2</v>
      </c>
      <c r="K21" s="6">
        <v>40.1</v>
      </c>
      <c r="L21" s="6">
        <v>51</v>
      </c>
      <c r="M21" s="17">
        <f t="shared" si="0"/>
        <v>46.1</v>
      </c>
    </row>
    <row r="22" spans="1:13" x14ac:dyDescent="0.3">
      <c r="A22" s="8">
        <v>12</v>
      </c>
      <c r="B22" s="8">
        <v>2</v>
      </c>
      <c r="C22" s="9">
        <v>1</v>
      </c>
      <c r="D22" s="9">
        <v>5.5</v>
      </c>
      <c r="E22" s="9">
        <v>5.5</v>
      </c>
      <c r="F22" s="9">
        <v>84</v>
      </c>
      <c r="G22" s="9">
        <v>1</v>
      </c>
      <c r="H22" s="9">
        <v>0</v>
      </c>
      <c r="I22" s="9">
        <v>0.72</v>
      </c>
      <c r="J22" s="9">
        <v>47.3</v>
      </c>
      <c r="K22" s="9">
        <v>48.2</v>
      </c>
      <c r="L22" s="9">
        <v>45.8</v>
      </c>
      <c r="M22" s="19">
        <f t="shared" si="0"/>
        <v>47.1</v>
      </c>
    </row>
    <row r="23" spans="1:13" x14ac:dyDescent="0.3">
      <c r="A23" s="8">
        <v>13</v>
      </c>
      <c r="B23" s="8">
        <v>2</v>
      </c>
      <c r="C23" s="9">
        <v>6</v>
      </c>
      <c r="D23" s="9">
        <v>6</v>
      </c>
      <c r="E23" s="9">
        <v>6</v>
      </c>
      <c r="F23" s="9">
        <v>87</v>
      </c>
      <c r="G23" s="9">
        <v>1</v>
      </c>
      <c r="H23" s="9">
        <v>0</v>
      </c>
      <c r="I23" s="9">
        <v>0.74</v>
      </c>
      <c r="J23" s="9">
        <v>47.5</v>
      </c>
      <c r="K23" s="9">
        <v>49.8</v>
      </c>
      <c r="L23" s="9">
        <v>49.5</v>
      </c>
      <c r="M23" s="19">
        <f t="shared" si="0"/>
        <v>48.933333333333337</v>
      </c>
    </row>
    <row r="24" spans="1:13" x14ac:dyDescent="0.3">
      <c r="A24" s="11" t="s">
        <v>17</v>
      </c>
      <c r="B24" s="11" t="s">
        <v>17</v>
      </c>
      <c r="C24" s="11" t="s">
        <v>17</v>
      </c>
      <c r="D24" s="11" t="s">
        <v>17</v>
      </c>
      <c r="E24" s="11" t="s">
        <v>17</v>
      </c>
      <c r="F24" s="11" t="s">
        <v>17</v>
      </c>
      <c r="G24" s="11" t="s">
        <v>17</v>
      </c>
      <c r="H24" s="11" t="s">
        <v>17</v>
      </c>
      <c r="I24" s="11" t="s">
        <v>17</v>
      </c>
      <c r="J24" s="11" t="s">
        <v>17</v>
      </c>
      <c r="K24" s="11" t="s">
        <v>17</v>
      </c>
      <c r="L24" s="11" t="s">
        <v>17</v>
      </c>
      <c r="M24" s="11" t="s">
        <v>17</v>
      </c>
    </row>
    <row r="25" spans="1:13" x14ac:dyDescent="0.3">
      <c r="A25" s="8">
        <v>14</v>
      </c>
      <c r="B25" s="8">
        <v>2</v>
      </c>
      <c r="C25" s="9">
        <v>10</v>
      </c>
      <c r="D25" s="9">
        <v>6</v>
      </c>
      <c r="E25" s="9">
        <v>6</v>
      </c>
      <c r="F25" s="9">
        <v>89</v>
      </c>
      <c r="G25" s="9">
        <v>1</v>
      </c>
      <c r="H25" s="9">
        <v>0</v>
      </c>
      <c r="I25" s="9">
        <v>0.78</v>
      </c>
      <c r="J25" s="9">
        <v>43.1</v>
      </c>
      <c r="K25" s="9">
        <v>47.6</v>
      </c>
      <c r="L25" s="9">
        <v>49.1</v>
      </c>
      <c r="M25" s="19">
        <f t="shared" si="0"/>
        <v>46.6</v>
      </c>
    </row>
    <row r="26" spans="1:13" x14ac:dyDescent="0.3">
      <c r="A26" s="8">
        <v>15</v>
      </c>
      <c r="B26" s="8">
        <v>2</v>
      </c>
      <c r="C26" s="9">
        <v>3</v>
      </c>
      <c r="D26" s="9">
        <v>6</v>
      </c>
      <c r="E26" s="9">
        <v>6</v>
      </c>
      <c r="F26" s="9">
        <v>89</v>
      </c>
      <c r="G26" s="9">
        <v>1</v>
      </c>
      <c r="H26" s="9">
        <v>0</v>
      </c>
      <c r="I26" s="9">
        <v>0.77</v>
      </c>
      <c r="J26" s="9">
        <v>49</v>
      </c>
      <c r="K26" s="9">
        <v>42.2</v>
      </c>
      <c r="L26" s="9">
        <v>48.1</v>
      </c>
      <c r="M26" s="19">
        <f t="shared" si="0"/>
        <v>46.433333333333337</v>
      </c>
    </row>
    <row r="27" spans="1:13" x14ac:dyDescent="0.3">
      <c r="A27" s="8">
        <v>16</v>
      </c>
      <c r="B27" s="8">
        <v>2</v>
      </c>
      <c r="C27" s="9">
        <v>4</v>
      </c>
      <c r="D27" s="9">
        <v>6</v>
      </c>
      <c r="E27" s="9">
        <v>6</v>
      </c>
      <c r="F27" s="9">
        <v>90</v>
      </c>
      <c r="G27" s="9">
        <v>1</v>
      </c>
      <c r="H27" s="9">
        <v>0</v>
      </c>
      <c r="I27" s="9">
        <v>0.76</v>
      </c>
      <c r="J27" s="9">
        <v>47.8</v>
      </c>
      <c r="K27" s="9">
        <v>50</v>
      </c>
      <c r="L27" s="9">
        <v>48.4</v>
      </c>
      <c r="M27" s="19">
        <f t="shared" si="0"/>
        <v>48.733333333333327</v>
      </c>
    </row>
    <row r="28" spans="1:13" x14ac:dyDescent="0.3">
      <c r="A28" s="8">
        <v>17</v>
      </c>
      <c r="B28" s="8">
        <v>2</v>
      </c>
      <c r="C28" s="9">
        <v>2</v>
      </c>
      <c r="D28" s="9">
        <v>6.5</v>
      </c>
      <c r="E28" s="9">
        <v>6.5</v>
      </c>
      <c r="F28" s="9">
        <v>88</v>
      </c>
      <c r="G28" s="9">
        <v>1</v>
      </c>
      <c r="H28" s="9">
        <v>0</v>
      </c>
      <c r="I28" s="9">
        <v>0.78</v>
      </c>
      <c r="J28" s="9">
        <v>49.8</v>
      </c>
      <c r="K28" s="9">
        <v>49.9</v>
      </c>
      <c r="L28" s="9">
        <v>50.6</v>
      </c>
      <c r="M28" s="19">
        <f t="shared" si="0"/>
        <v>50.099999999999994</v>
      </c>
    </row>
    <row r="29" spans="1:13" x14ac:dyDescent="0.3">
      <c r="A29" s="8">
        <v>18</v>
      </c>
      <c r="B29" s="8">
        <v>2</v>
      </c>
      <c r="C29" s="9">
        <v>11</v>
      </c>
      <c r="D29" s="9">
        <v>6</v>
      </c>
      <c r="E29" s="9">
        <v>5.5</v>
      </c>
      <c r="F29" s="9">
        <v>86</v>
      </c>
      <c r="G29" s="9">
        <v>1</v>
      </c>
      <c r="H29" s="9">
        <v>0</v>
      </c>
      <c r="I29" s="9">
        <v>0.75</v>
      </c>
      <c r="J29" s="9">
        <v>47.4</v>
      </c>
      <c r="K29" s="9">
        <v>46.9</v>
      </c>
      <c r="L29" s="9">
        <v>45.1</v>
      </c>
      <c r="M29" s="19">
        <f t="shared" si="0"/>
        <v>46.466666666666669</v>
      </c>
    </row>
    <row r="30" spans="1:13" x14ac:dyDescent="0.3">
      <c r="A30" s="8">
        <v>19</v>
      </c>
      <c r="B30" s="8">
        <v>2</v>
      </c>
      <c r="C30" s="9">
        <v>7</v>
      </c>
      <c r="D30" s="9">
        <v>6</v>
      </c>
      <c r="E30" s="9">
        <v>6</v>
      </c>
      <c r="F30" s="9">
        <v>91</v>
      </c>
      <c r="G30" s="9">
        <v>1</v>
      </c>
      <c r="H30" s="9">
        <v>0</v>
      </c>
      <c r="I30" s="9">
        <v>0.77</v>
      </c>
      <c r="J30" s="9">
        <v>48.8</v>
      </c>
      <c r="K30" s="9">
        <v>49.5</v>
      </c>
      <c r="L30" s="9">
        <v>44.5</v>
      </c>
      <c r="M30" s="19">
        <f t="shared" si="0"/>
        <v>47.6</v>
      </c>
    </row>
    <row r="31" spans="1:13" x14ac:dyDescent="0.3">
      <c r="A31" s="8">
        <v>20</v>
      </c>
      <c r="B31" s="8">
        <v>2</v>
      </c>
      <c r="C31" s="9">
        <v>9</v>
      </c>
      <c r="D31" s="10">
        <v>5.5</v>
      </c>
      <c r="E31" s="9">
        <v>5.5</v>
      </c>
      <c r="F31" s="9">
        <v>86</v>
      </c>
      <c r="G31" s="9">
        <v>1</v>
      </c>
      <c r="H31" s="9">
        <v>0</v>
      </c>
      <c r="I31" s="9">
        <v>0.74</v>
      </c>
      <c r="J31" s="9">
        <v>52.2</v>
      </c>
      <c r="K31" s="9">
        <v>47.5</v>
      </c>
      <c r="L31" s="9">
        <v>47.9</v>
      </c>
      <c r="M31" s="19">
        <f t="shared" si="0"/>
        <v>49.199999999999996</v>
      </c>
    </row>
    <row r="32" spans="1:13" x14ac:dyDescent="0.3">
      <c r="A32" s="8">
        <v>21</v>
      </c>
      <c r="B32" s="8">
        <v>2</v>
      </c>
      <c r="C32" s="9">
        <v>5</v>
      </c>
      <c r="D32" s="9">
        <v>5.5</v>
      </c>
      <c r="E32" s="9">
        <v>6</v>
      </c>
      <c r="F32" s="9">
        <v>87</v>
      </c>
      <c r="G32" s="9">
        <v>1</v>
      </c>
      <c r="H32" s="9">
        <v>0</v>
      </c>
      <c r="I32" s="9">
        <v>0.73</v>
      </c>
      <c r="J32" s="9">
        <v>52.3</v>
      </c>
      <c r="K32" s="9">
        <v>48.6</v>
      </c>
      <c r="L32" s="9">
        <v>48</v>
      </c>
      <c r="M32" s="19">
        <f t="shared" si="0"/>
        <v>49.633333333333333</v>
      </c>
    </row>
    <row r="33" spans="1:13" x14ac:dyDescent="0.3">
      <c r="A33" s="8">
        <v>22</v>
      </c>
      <c r="B33" s="8">
        <v>2</v>
      </c>
      <c r="C33" s="9">
        <v>8</v>
      </c>
      <c r="D33" s="9">
        <v>5.5</v>
      </c>
      <c r="E33" s="9">
        <v>6</v>
      </c>
      <c r="F33" s="9">
        <v>86</v>
      </c>
      <c r="G33" s="9">
        <v>1</v>
      </c>
      <c r="H33" s="9">
        <v>0</v>
      </c>
      <c r="I33" s="9">
        <v>0.78</v>
      </c>
      <c r="J33" s="9">
        <v>50.3</v>
      </c>
      <c r="K33" s="9">
        <v>44.4</v>
      </c>
      <c r="L33" s="9">
        <v>46.9</v>
      </c>
      <c r="M33" s="19">
        <f t="shared" si="0"/>
        <v>47.199999999999996</v>
      </c>
    </row>
    <row r="34" spans="1:13" x14ac:dyDescent="0.3">
      <c r="A34" s="5">
        <v>23</v>
      </c>
      <c r="B34" s="6">
        <v>3</v>
      </c>
      <c r="C34" s="6">
        <v>4</v>
      </c>
      <c r="D34" s="6">
        <v>4.5</v>
      </c>
      <c r="E34" s="6">
        <v>5</v>
      </c>
      <c r="F34" s="6">
        <v>84</v>
      </c>
      <c r="G34" s="6">
        <v>1</v>
      </c>
      <c r="H34" s="6">
        <v>0</v>
      </c>
      <c r="I34" s="6">
        <v>0.74</v>
      </c>
      <c r="J34" s="6">
        <v>49.6</v>
      </c>
      <c r="K34" s="6">
        <v>48.9</v>
      </c>
      <c r="L34" s="6">
        <v>50.6</v>
      </c>
      <c r="M34" s="17">
        <f t="shared" si="0"/>
        <v>49.699999999999996</v>
      </c>
    </row>
    <row r="35" spans="1:13" x14ac:dyDescent="0.3">
      <c r="A35" s="5">
        <v>24</v>
      </c>
      <c r="B35" s="6">
        <v>3</v>
      </c>
      <c r="C35" s="6">
        <v>1</v>
      </c>
      <c r="D35" s="6">
        <v>5</v>
      </c>
      <c r="E35" s="6">
        <v>5</v>
      </c>
      <c r="F35" s="6">
        <v>84</v>
      </c>
      <c r="G35" s="6">
        <v>1</v>
      </c>
      <c r="H35" s="6">
        <v>0</v>
      </c>
      <c r="I35" s="7">
        <v>0.76</v>
      </c>
      <c r="J35" s="6">
        <v>49</v>
      </c>
      <c r="K35" s="6">
        <v>49.5</v>
      </c>
      <c r="L35" s="6">
        <v>47.5</v>
      </c>
      <c r="M35" s="17">
        <f t="shared" si="0"/>
        <v>48.666666666666664</v>
      </c>
    </row>
    <row r="36" spans="1:13" x14ac:dyDescent="0.3">
      <c r="A36" s="5">
        <v>25</v>
      </c>
      <c r="B36" s="6">
        <v>3</v>
      </c>
      <c r="C36" s="6">
        <v>9</v>
      </c>
      <c r="D36" s="6">
        <v>6</v>
      </c>
      <c r="E36" s="6">
        <v>6</v>
      </c>
      <c r="F36" s="6">
        <v>91</v>
      </c>
      <c r="G36" s="6">
        <v>1</v>
      </c>
      <c r="H36" s="6">
        <v>0</v>
      </c>
      <c r="I36" s="6">
        <v>0.74</v>
      </c>
      <c r="J36" s="6">
        <v>49.9</v>
      </c>
      <c r="K36" s="6">
        <v>53.3</v>
      </c>
      <c r="L36" s="6">
        <v>48.6</v>
      </c>
      <c r="M36" s="17">
        <f t="shared" si="0"/>
        <v>50.599999999999994</v>
      </c>
    </row>
    <row r="37" spans="1:13" x14ac:dyDescent="0.3">
      <c r="A37" s="5">
        <v>26</v>
      </c>
      <c r="B37" s="6">
        <v>3</v>
      </c>
      <c r="C37" s="6">
        <v>2</v>
      </c>
      <c r="D37" s="6">
        <v>5.5</v>
      </c>
      <c r="E37" s="6">
        <v>5.5</v>
      </c>
      <c r="F37" s="6">
        <v>88</v>
      </c>
      <c r="G37" s="6">
        <v>1</v>
      </c>
      <c r="H37" s="6">
        <v>0</v>
      </c>
      <c r="I37" s="6">
        <v>0.73</v>
      </c>
      <c r="J37" s="6">
        <v>54.3</v>
      </c>
      <c r="K37" s="6">
        <v>46.7</v>
      </c>
      <c r="L37" s="6">
        <v>47.2</v>
      </c>
      <c r="M37" s="17">
        <f t="shared" si="0"/>
        <v>49.4</v>
      </c>
    </row>
    <row r="38" spans="1:13" x14ac:dyDescent="0.3">
      <c r="A38" s="5">
        <v>27</v>
      </c>
      <c r="B38" s="6">
        <v>3</v>
      </c>
      <c r="C38" s="6">
        <v>6</v>
      </c>
      <c r="D38" s="6">
        <v>5.5</v>
      </c>
      <c r="E38" s="6">
        <v>5.5</v>
      </c>
      <c r="F38" s="6">
        <v>85</v>
      </c>
      <c r="G38" s="6">
        <v>1</v>
      </c>
      <c r="H38" s="6">
        <v>0</v>
      </c>
      <c r="I38" s="6">
        <v>0.78</v>
      </c>
      <c r="J38" s="6">
        <v>48.6</v>
      </c>
      <c r="K38" s="6">
        <v>46.5</v>
      </c>
      <c r="L38" s="6">
        <v>47</v>
      </c>
      <c r="M38" s="17">
        <f t="shared" si="0"/>
        <v>47.366666666666667</v>
      </c>
    </row>
    <row r="39" spans="1:13" x14ac:dyDescent="0.3">
      <c r="A39" s="5">
        <v>28</v>
      </c>
      <c r="B39" s="6">
        <v>3</v>
      </c>
      <c r="C39" s="6">
        <v>11</v>
      </c>
      <c r="D39" s="6">
        <v>6</v>
      </c>
      <c r="E39" s="6">
        <v>6</v>
      </c>
      <c r="F39" s="6">
        <v>86</v>
      </c>
      <c r="G39" s="6">
        <v>1</v>
      </c>
      <c r="H39" s="6">
        <v>0</v>
      </c>
      <c r="I39" s="6">
        <v>0.77</v>
      </c>
      <c r="J39" s="6">
        <v>43.1</v>
      </c>
      <c r="K39" s="6">
        <v>45.1</v>
      </c>
      <c r="L39" s="6">
        <v>42.8</v>
      </c>
      <c r="M39" s="17">
        <f t="shared" si="0"/>
        <v>43.666666666666664</v>
      </c>
    </row>
    <row r="40" spans="1:13" x14ac:dyDescent="0.3">
      <c r="A40" s="5">
        <v>29</v>
      </c>
      <c r="B40" s="6">
        <v>3</v>
      </c>
      <c r="C40" s="6">
        <v>5</v>
      </c>
      <c r="D40" s="6">
        <v>6</v>
      </c>
      <c r="E40" s="6">
        <v>5.5</v>
      </c>
      <c r="F40" s="6">
        <v>89</v>
      </c>
      <c r="G40" s="6">
        <v>1</v>
      </c>
      <c r="H40" s="6">
        <v>0</v>
      </c>
      <c r="I40" s="6">
        <v>0.77</v>
      </c>
      <c r="J40" s="6">
        <v>43.6</v>
      </c>
      <c r="K40" s="6">
        <v>51.2</v>
      </c>
      <c r="L40" s="6">
        <v>48.7</v>
      </c>
      <c r="M40" s="17">
        <f t="shared" si="0"/>
        <v>47.833333333333336</v>
      </c>
    </row>
    <row r="41" spans="1:13" x14ac:dyDescent="0.3">
      <c r="A41" s="11" t="s">
        <v>17</v>
      </c>
      <c r="B41" s="11" t="s">
        <v>17</v>
      </c>
      <c r="C41" s="11" t="s">
        <v>17</v>
      </c>
      <c r="D41" s="11" t="s">
        <v>17</v>
      </c>
      <c r="E41" s="11" t="s">
        <v>17</v>
      </c>
      <c r="F41" s="11" t="s">
        <v>17</v>
      </c>
      <c r="G41" s="11" t="s">
        <v>17</v>
      </c>
      <c r="H41" s="11" t="s">
        <v>17</v>
      </c>
      <c r="I41" s="11" t="s">
        <v>17</v>
      </c>
      <c r="J41" s="11" t="s">
        <v>17</v>
      </c>
      <c r="K41" s="11" t="s">
        <v>17</v>
      </c>
      <c r="L41" s="11" t="s">
        <v>17</v>
      </c>
      <c r="M41" s="18" t="s">
        <v>17</v>
      </c>
    </row>
    <row r="42" spans="1:13" x14ac:dyDescent="0.3">
      <c r="A42" s="5">
        <v>30</v>
      </c>
      <c r="B42" s="6">
        <v>3</v>
      </c>
      <c r="C42" s="6">
        <v>8</v>
      </c>
      <c r="D42" s="6">
        <v>6</v>
      </c>
      <c r="E42" s="6">
        <v>6</v>
      </c>
      <c r="F42" s="6">
        <v>84</v>
      </c>
      <c r="G42" s="6">
        <v>1</v>
      </c>
      <c r="H42" s="6">
        <v>0</v>
      </c>
      <c r="I42" s="6">
        <v>0.74</v>
      </c>
      <c r="J42" s="6">
        <v>48.7</v>
      </c>
      <c r="K42" s="6">
        <v>53.7</v>
      </c>
      <c r="L42" s="6">
        <v>43.7</v>
      </c>
      <c r="M42" s="17">
        <f t="shared" si="0"/>
        <v>48.70000000000001</v>
      </c>
    </row>
    <row r="43" spans="1:13" x14ac:dyDescent="0.3">
      <c r="A43" s="5">
        <v>31</v>
      </c>
      <c r="B43" s="6">
        <v>3</v>
      </c>
      <c r="C43" s="6">
        <v>3</v>
      </c>
      <c r="D43" s="6">
        <v>6</v>
      </c>
      <c r="E43" s="6">
        <v>6</v>
      </c>
      <c r="F43" s="6">
        <v>86</v>
      </c>
      <c r="G43" s="6">
        <v>1</v>
      </c>
      <c r="H43" s="6">
        <v>0</v>
      </c>
      <c r="I43" s="6">
        <v>0.75</v>
      </c>
      <c r="J43" s="6">
        <v>50.3</v>
      </c>
      <c r="K43" s="6">
        <v>47</v>
      </c>
      <c r="L43" s="6">
        <v>47.5</v>
      </c>
      <c r="M43" s="17">
        <f t="shared" si="0"/>
        <v>48.266666666666673</v>
      </c>
    </row>
    <row r="44" spans="1:13" x14ac:dyDescent="0.3">
      <c r="A44" s="5">
        <v>32</v>
      </c>
      <c r="B44" s="6">
        <v>3</v>
      </c>
      <c r="C44" s="6">
        <v>7</v>
      </c>
      <c r="D44" s="6">
        <v>6</v>
      </c>
      <c r="E44" s="6">
        <v>6</v>
      </c>
      <c r="F44" s="6">
        <v>87</v>
      </c>
      <c r="G44" s="6">
        <v>1</v>
      </c>
      <c r="H44" s="6">
        <v>0</v>
      </c>
      <c r="I44" s="6">
        <v>0.74</v>
      </c>
      <c r="J44" s="6">
        <v>48.5</v>
      </c>
      <c r="K44" s="6">
        <v>45.7</v>
      </c>
      <c r="L44" s="6">
        <v>50.5</v>
      </c>
      <c r="M44" s="17">
        <f t="shared" si="0"/>
        <v>48.233333333333327</v>
      </c>
    </row>
    <row r="45" spans="1:13" x14ac:dyDescent="0.3">
      <c r="A45" s="5">
        <v>33</v>
      </c>
      <c r="B45" s="6">
        <v>3</v>
      </c>
      <c r="C45" s="6">
        <v>10</v>
      </c>
      <c r="D45" s="6">
        <v>6</v>
      </c>
      <c r="E45" s="6">
        <v>5.5</v>
      </c>
      <c r="F45" s="6">
        <v>86</v>
      </c>
      <c r="G45" s="6">
        <v>1</v>
      </c>
      <c r="H45" s="6">
        <v>0</v>
      </c>
      <c r="I45" s="6">
        <v>0.75</v>
      </c>
      <c r="J45" s="6">
        <v>50.1</v>
      </c>
      <c r="K45" s="6">
        <v>48.8</v>
      </c>
      <c r="L45" s="6">
        <v>46.3</v>
      </c>
      <c r="M45" s="17">
        <f t="shared" si="0"/>
        <v>48.4</v>
      </c>
    </row>
    <row r="46" spans="1:13" x14ac:dyDescent="0.3">
      <c r="A46" s="8">
        <v>34</v>
      </c>
      <c r="B46" s="9">
        <v>4</v>
      </c>
      <c r="C46" s="9">
        <v>7</v>
      </c>
      <c r="D46" s="10" t="s">
        <v>22</v>
      </c>
      <c r="E46" s="9">
        <v>5.5</v>
      </c>
      <c r="F46" s="9">
        <v>89</v>
      </c>
      <c r="G46" s="9">
        <v>1</v>
      </c>
      <c r="H46" s="9">
        <v>0</v>
      </c>
      <c r="I46" s="9">
        <v>0.74</v>
      </c>
      <c r="J46" s="9">
        <v>43.2</v>
      </c>
      <c r="K46" s="9">
        <v>47.5</v>
      </c>
      <c r="L46" s="9">
        <v>50.5</v>
      </c>
      <c r="M46" s="19">
        <f t="shared" si="0"/>
        <v>47.066666666666663</v>
      </c>
    </row>
    <row r="47" spans="1:13" x14ac:dyDescent="0.3">
      <c r="A47" s="8">
        <v>35</v>
      </c>
      <c r="B47" s="9">
        <v>4</v>
      </c>
      <c r="C47" s="9">
        <v>8</v>
      </c>
      <c r="D47" s="9">
        <v>5.5</v>
      </c>
      <c r="E47" s="9">
        <v>5.5</v>
      </c>
      <c r="F47" s="9">
        <v>86</v>
      </c>
      <c r="G47" s="9">
        <v>1</v>
      </c>
      <c r="H47" s="9">
        <v>0</v>
      </c>
      <c r="I47" s="9">
        <v>0.71</v>
      </c>
      <c r="J47" s="9">
        <v>51.5</v>
      </c>
      <c r="K47" s="9">
        <v>50.6</v>
      </c>
      <c r="L47" s="9">
        <v>48.7</v>
      </c>
      <c r="M47" s="19">
        <f t="shared" si="0"/>
        <v>50.266666666666673</v>
      </c>
    </row>
    <row r="48" spans="1:13" x14ac:dyDescent="0.3">
      <c r="A48" s="8">
        <v>36</v>
      </c>
      <c r="B48" s="9">
        <v>4</v>
      </c>
      <c r="C48" s="9">
        <v>11</v>
      </c>
      <c r="D48" s="9">
        <v>5.5</v>
      </c>
      <c r="E48" s="9">
        <v>5</v>
      </c>
      <c r="F48" s="9">
        <v>83</v>
      </c>
      <c r="G48" s="9">
        <v>1</v>
      </c>
      <c r="H48" s="9">
        <v>0</v>
      </c>
      <c r="I48" s="9">
        <v>0.71</v>
      </c>
      <c r="J48" s="9">
        <v>51.6</v>
      </c>
      <c r="K48" s="9">
        <v>52.4</v>
      </c>
      <c r="L48" s="9">
        <v>50.3</v>
      </c>
      <c r="M48" s="19">
        <f t="shared" si="0"/>
        <v>51.433333333333337</v>
      </c>
    </row>
    <row r="49" spans="1:13" x14ac:dyDescent="0.3">
      <c r="A49" s="8">
        <v>37</v>
      </c>
      <c r="B49" s="9">
        <v>4</v>
      </c>
      <c r="C49" s="9">
        <v>5</v>
      </c>
      <c r="D49" s="9">
        <v>5.5</v>
      </c>
      <c r="E49" s="9">
        <v>5.5</v>
      </c>
      <c r="F49" s="9">
        <v>86</v>
      </c>
      <c r="G49" s="9">
        <v>1</v>
      </c>
      <c r="H49" s="9">
        <v>0</v>
      </c>
      <c r="I49" s="9">
        <v>0.74</v>
      </c>
      <c r="J49" s="9">
        <v>54.8</v>
      </c>
      <c r="K49" s="9">
        <v>47.9</v>
      </c>
      <c r="L49" s="9">
        <v>41.7</v>
      </c>
      <c r="M49" s="19">
        <f t="shared" si="0"/>
        <v>48.133333333333326</v>
      </c>
    </row>
    <row r="50" spans="1:13" x14ac:dyDescent="0.3">
      <c r="A50" s="8">
        <v>38</v>
      </c>
      <c r="B50" s="9">
        <v>4</v>
      </c>
      <c r="C50" s="9">
        <v>9</v>
      </c>
      <c r="D50" s="9">
        <v>6</v>
      </c>
      <c r="E50" s="9">
        <v>5.5</v>
      </c>
      <c r="F50" s="9">
        <v>87</v>
      </c>
      <c r="G50" s="9">
        <v>1</v>
      </c>
      <c r="H50" s="9">
        <v>0</v>
      </c>
      <c r="I50" s="9">
        <v>0.77</v>
      </c>
      <c r="J50" s="9">
        <v>50.4</v>
      </c>
      <c r="K50" s="9">
        <v>50.8</v>
      </c>
      <c r="L50" s="9">
        <v>50.8</v>
      </c>
      <c r="M50" s="19">
        <f t="shared" si="0"/>
        <v>50.666666666666664</v>
      </c>
    </row>
    <row r="51" spans="1:13" x14ac:dyDescent="0.3">
      <c r="A51" s="11" t="s">
        <v>17</v>
      </c>
      <c r="B51" s="11" t="s">
        <v>17</v>
      </c>
      <c r="C51" s="11" t="s">
        <v>17</v>
      </c>
      <c r="D51" s="11" t="s">
        <v>17</v>
      </c>
      <c r="E51" s="11" t="s">
        <v>17</v>
      </c>
      <c r="F51" s="11" t="s">
        <v>17</v>
      </c>
      <c r="G51" s="11" t="s">
        <v>17</v>
      </c>
      <c r="H51" s="11" t="s">
        <v>17</v>
      </c>
      <c r="I51" s="11" t="s">
        <v>17</v>
      </c>
      <c r="J51" s="11" t="s">
        <v>17</v>
      </c>
      <c r="K51" s="11" t="s">
        <v>17</v>
      </c>
      <c r="L51" s="11" t="s">
        <v>17</v>
      </c>
      <c r="M51" s="11" t="s">
        <v>17</v>
      </c>
    </row>
    <row r="52" spans="1:13" x14ac:dyDescent="0.3">
      <c r="A52" s="8">
        <v>39</v>
      </c>
      <c r="B52" s="9">
        <v>4</v>
      </c>
      <c r="C52" s="9">
        <v>6</v>
      </c>
      <c r="D52" s="9">
        <v>5.5</v>
      </c>
      <c r="E52" s="9">
        <v>5.5</v>
      </c>
      <c r="F52" s="9">
        <v>85</v>
      </c>
      <c r="G52" s="9">
        <v>1</v>
      </c>
      <c r="H52" s="9">
        <v>0</v>
      </c>
      <c r="I52" s="9">
        <v>0.76</v>
      </c>
      <c r="J52" s="9">
        <v>52.4</v>
      </c>
      <c r="K52" s="9">
        <v>53.5</v>
      </c>
      <c r="L52" s="9">
        <v>43.3</v>
      </c>
      <c r="M52" s="19">
        <f t="shared" si="0"/>
        <v>49.733333333333327</v>
      </c>
    </row>
    <row r="53" spans="1:13" x14ac:dyDescent="0.3">
      <c r="A53" s="8">
        <v>40</v>
      </c>
      <c r="B53" s="9">
        <v>4</v>
      </c>
      <c r="C53" s="9">
        <v>2</v>
      </c>
      <c r="D53" s="9">
        <v>6</v>
      </c>
      <c r="E53" s="10">
        <v>5.5</v>
      </c>
      <c r="F53" s="9">
        <v>84</v>
      </c>
      <c r="G53" s="9">
        <v>1</v>
      </c>
      <c r="H53" s="9">
        <v>0</v>
      </c>
      <c r="I53" s="9">
        <v>0.74</v>
      </c>
      <c r="J53" s="10">
        <v>46.2</v>
      </c>
      <c r="K53" s="10">
        <v>51.6</v>
      </c>
      <c r="L53" s="9">
        <v>48.5</v>
      </c>
      <c r="M53" s="19">
        <f t="shared" si="0"/>
        <v>48.766666666666673</v>
      </c>
    </row>
    <row r="54" spans="1:13" x14ac:dyDescent="0.3">
      <c r="A54" s="8">
        <v>41</v>
      </c>
      <c r="B54" s="9">
        <v>4</v>
      </c>
      <c r="C54" s="9">
        <v>10</v>
      </c>
      <c r="D54" s="9">
        <v>6</v>
      </c>
      <c r="E54" s="9">
        <v>6</v>
      </c>
      <c r="F54" s="9">
        <v>83</v>
      </c>
      <c r="G54" s="9">
        <v>1</v>
      </c>
      <c r="H54" s="9">
        <v>0</v>
      </c>
      <c r="I54" s="9">
        <v>0.73</v>
      </c>
      <c r="J54" s="9">
        <v>46.3</v>
      </c>
      <c r="K54" s="9">
        <v>49.4</v>
      </c>
      <c r="L54" s="9">
        <v>49.4</v>
      </c>
      <c r="M54" s="19">
        <f t="shared" si="0"/>
        <v>48.366666666666667</v>
      </c>
    </row>
    <row r="55" spans="1:13" x14ac:dyDescent="0.3">
      <c r="A55" s="8">
        <v>42</v>
      </c>
      <c r="B55" s="9">
        <v>4</v>
      </c>
      <c r="C55" s="9">
        <v>1</v>
      </c>
      <c r="D55" s="9">
        <v>6</v>
      </c>
      <c r="E55" s="9">
        <v>6</v>
      </c>
      <c r="F55" s="9">
        <v>87</v>
      </c>
      <c r="G55" s="9">
        <v>1</v>
      </c>
      <c r="H55" s="9">
        <v>0</v>
      </c>
      <c r="I55" s="9">
        <v>0.74</v>
      </c>
      <c r="J55" s="9">
        <v>47.3</v>
      </c>
      <c r="K55" s="9">
        <v>48.9</v>
      </c>
      <c r="L55" s="9">
        <v>47.3</v>
      </c>
      <c r="M55" s="19">
        <f t="shared" si="0"/>
        <v>47.833333333333336</v>
      </c>
    </row>
    <row r="56" spans="1:13" x14ac:dyDescent="0.3">
      <c r="A56" s="8">
        <v>43</v>
      </c>
      <c r="B56" s="9">
        <v>4</v>
      </c>
      <c r="C56" s="9">
        <v>4</v>
      </c>
      <c r="D56" s="9">
        <v>6</v>
      </c>
      <c r="E56" s="9">
        <v>5.5</v>
      </c>
      <c r="F56" s="9">
        <v>87</v>
      </c>
      <c r="G56" s="9">
        <v>1</v>
      </c>
      <c r="H56" s="9">
        <v>0</v>
      </c>
      <c r="I56" s="9">
        <v>0.75</v>
      </c>
      <c r="J56" s="9">
        <v>50.4</v>
      </c>
      <c r="K56" s="9">
        <v>51.5</v>
      </c>
      <c r="L56" s="9">
        <v>45.1</v>
      </c>
      <c r="M56" s="19">
        <f t="shared" si="0"/>
        <v>49</v>
      </c>
    </row>
    <row r="57" spans="1:13" x14ac:dyDescent="0.3">
      <c r="A57" s="8">
        <v>44</v>
      </c>
      <c r="B57" s="9">
        <v>4</v>
      </c>
      <c r="C57" s="9">
        <v>3</v>
      </c>
      <c r="D57" s="9">
        <v>6</v>
      </c>
      <c r="E57" s="9">
        <v>6</v>
      </c>
      <c r="F57" s="9">
        <v>90</v>
      </c>
      <c r="G57" s="9">
        <v>1</v>
      </c>
      <c r="H57" s="9">
        <v>0</v>
      </c>
      <c r="I57" s="9">
        <v>0.78</v>
      </c>
      <c r="J57" s="9">
        <v>49.2</v>
      </c>
      <c r="K57" s="9">
        <v>49.6</v>
      </c>
      <c r="L57" s="9">
        <v>45.6</v>
      </c>
      <c r="M57" s="19">
        <f t="shared" si="0"/>
        <v>48.133333333333333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6"/>
  <sheetViews>
    <sheetView workbookViewId="0">
      <selection activeCell="P12" sqref="P12"/>
    </sheetView>
  </sheetViews>
  <sheetFormatPr defaultRowHeight="14.4" x14ac:dyDescent="0.3"/>
  <sheetData>
    <row r="1" spans="1:13" x14ac:dyDescent="0.3">
      <c r="A1" t="s">
        <v>7</v>
      </c>
      <c r="C1" t="s">
        <v>8</v>
      </c>
    </row>
    <row r="2" spans="1:13" x14ac:dyDescent="0.3">
      <c r="A2" s="1" t="s">
        <v>13</v>
      </c>
      <c r="B2" t="s">
        <v>27</v>
      </c>
    </row>
    <row r="3" spans="1:13" x14ac:dyDescent="0.3">
      <c r="A3" s="1" t="s">
        <v>12</v>
      </c>
      <c r="B3" t="s">
        <v>24</v>
      </c>
    </row>
    <row r="4" spans="1:13" x14ac:dyDescent="0.3">
      <c r="A4" s="1" t="s">
        <v>11</v>
      </c>
      <c r="B4" t="s">
        <v>25</v>
      </c>
    </row>
    <row r="5" spans="1:13" x14ac:dyDescent="0.3">
      <c r="A5" t="s">
        <v>6</v>
      </c>
    </row>
    <row r="6" spans="1:13" ht="15" thickBot="1" x14ac:dyDescent="0.35">
      <c r="A6" s="1" t="s">
        <v>0</v>
      </c>
    </row>
    <row r="7" spans="1:13" ht="15" thickBot="1" x14ac:dyDescent="0.35">
      <c r="A7" s="1"/>
      <c r="J7" s="12"/>
      <c r="K7" s="13" t="s">
        <v>9</v>
      </c>
      <c r="L7" s="14"/>
      <c r="M7" s="15"/>
    </row>
    <row r="8" spans="1:13" ht="15" thickBot="1" x14ac:dyDescent="0.35">
      <c r="A8" s="2" t="s">
        <v>1</v>
      </c>
      <c r="B8" s="3" t="s">
        <v>2</v>
      </c>
      <c r="C8" s="4" t="s">
        <v>3</v>
      </c>
      <c r="D8" s="2" t="s">
        <v>4</v>
      </c>
      <c r="E8" s="3" t="s">
        <v>5</v>
      </c>
      <c r="F8" s="3" t="s">
        <v>16</v>
      </c>
      <c r="G8" s="3" t="s">
        <v>14</v>
      </c>
      <c r="H8" s="3" t="s">
        <v>15</v>
      </c>
      <c r="I8" s="3" t="s">
        <v>10</v>
      </c>
      <c r="J8" s="16" t="s">
        <v>18</v>
      </c>
      <c r="K8" s="16" t="s">
        <v>19</v>
      </c>
      <c r="L8" s="16" t="s">
        <v>20</v>
      </c>
      <c r="M8" s="16" t="s">
        <v>21</v>
      </c>
    </row>
    <row r="9" spans="1:13" x14ac:dyDescent="0.3">
      <c r="A9" s="5">
        <v>1</v>
      </c>
      <c r="B9" s="5">
        <v>1</v>
      </c>
      <c r="C9" s="5">
        <v>8</v>
      </c>
      <c r="D9" s="6">
        <v>5.5</v>
      </c>
      <c r="E9" s="6">
        <v>5</v>
      </c>
      <c r="F9" s="6">
        <v>90</v>
      </c>
      <c r="G9" s="6">
        <v>1</v>
      </c>
      <c r="H9" s="6">
        <v>0</v>
      </c>
      <c r="I9" s="6">
        <v>0.7</v>
      </c>
      <c r="J9" s="6">
        <v>51.4</v>
      </c>
      <c r="K9" s="6">
        <v>52.3</v>
      </c>
      <c r="L9" s="6">
        <v>54</v>
      </c>
      <c r="M9" s="17">
        <f>AVERAGE(J9,K9, L9)</f>
        <v>52.566666666666663</v>
      </c>
    </row>
    <row r="10" spans="1:13" x14ac:dyDescent="0.3">
      <c r="A10" s="5">
        <v>2</v>
      </c>
      <c r="B10" s="5">
        <v>1</v>
      </c>
      <c r="C10" s="6">
        <v>9</v>
      </c>
      <c r="D10" s="6">
        <v>5.5</v>
      </c>
      <c r="E10" s="6">
        <v>5.5</v>
      </c>
      <c r="F10" s="6">
        <v>90</v>
      </c>
      <c r="G10" s="6">
        <v>1</v>
      </c>
      <c r="H10" s="6">
        <v>0</v>
      </c>
      <c r="I10" s="6">
        <v>0.75</v>
      </c>
      <c r="J10" s="6">
        <v>57.3</v>
      </c>
      <c r="K10" s="6">
        <v>56</v>
      </c>
      <c r="L10" s="7">
        <v>51.9</v>
      </c>
      <c r="M10" s="17">
        <f t="shared" ref="M10:M56" si="0">AVERAGE(J10,K10, L10)</f>
        <v>55.066666666666663</v>
      </c>
    </row>
    <row r="11" spans="1:13" x14ac:dyDescent="0.3">
      <c r="A11" s="5">
        <v>3</v>
      </c>
      <c r="B11" s="5">
        <v>1</v>
      </c>
      <c r="C11" s="6">
        <v>7</v>
      </c>
      <c r="D11" s="6">
        <v>5.5</v>
      </c>
      <c r="E11" s="6">
        <v>5.5</v>
      </c>
      <c r="F11" s="6">
        <v>90</v>
      </c>
      <c r="G11" s="6">
        <v>1</v>
      </c>
      <c r="H11" s="6">
        <v>0</v>
      </c>
      <c r="I11" s="6">
        <v>0.72</v>
      </c>
      <c r="J11" s="6">
        <v>50</v>
      </c>
      <c r="K11" s="6">
        <v>50.1</v>
      </c>
      <c r="L11" s="6">
        <v>51.8</v>
      </c>
      <c r="M11" s="17">
        <f t="shared" si="0"/>
        <v>50.633333333333326</v>
      </c>
    </row>
    <row r="12" spans="1:13" x14ac:dyDescent="0.3">
      <c r="A12" s="5">
        <v>4</v>
      </c>
      <c r="B12" s="5">
        <v>1</v>
      </c>
      <c r="C12" s="6">
        <v>3</v>
      </c>
      <c r="D12" s="6">
        <v>6</v>
      </c>
      <c r="E12" s="6">
        <v>6</v>
      </c>
      <c r="F12" s="6">
        <v>94</v>
      </c>
      <c r="G12" s="6">
        <v>1</v>
      </c>
      <c r="H12" s="6">
        <v>0</v>
      </c>
      <c r="I12" s="6">
        <v>0.77</v>
      </c>
      <c r="J12" s="6">
        <v>50.3</v>
      </c>
      <c r="K12" s="6">
        <v>52.6</v>
      </c>
      <c r="L12" s="6">
        <v>47.6</v>
      </c>
      <c r="M12" s="17">
        <f t="shared" si="0"/>
        <v>50.166666666666664</v>
      </c>
    </row>
    <row r="13" spans="1:13" x14ac:dyDescent="0.3">
      <c r="A13" s="11" t="s">
        <v>17</v>
      </c>
      <c r="B13" s="11" t="s">
        <v>17</v>
      </c>
      <c r="C13" s="11" t="s">
        <v>17</v>
      </c>
      <c r="D13" s="11" t="s">
        <v>17</v>
      </c>
      <c r="E13" s="11" t="s">
        <v>17</v>
      </c>
      <c r="F13" s="11" t="s">
        <v>17</v>
      </c>
      <c r="G13" s="11" t="s">
        <v>17</v>
      </c>
      <c r="H13" s="11" t="s">
        <v>17</v>
      </c>
      <c r="I13" s="11" t="s">
        <v>17</v>
      </c>
      <c r="J13" s="11" t="s">
        <v>17</v>
      </c>
      <c r="K13" s="11" t="s">
        <v>17</v>
      </c>
      <c r="L13" s="11" t="s">
        <v>17</v>
      </c>
      <c r="M13" s="11" t="s">
        <v>17</v>
      </c>
    </row>
    <row r="14" spans="1:13" x14ac:dyDescent="0.3">
      <c r="A14" s="5">
        <v>5</v>
      </c>
      <c r="B14" s="5">
        <v>1</v>
      </c>
      <c r="C14" s="6">
        <v>2</v>
      </c>
      <c r="D14" s="6">
        <v>6.5</v>
      </c>
      <c r="E14" s="6">
        <v>6</v>
      </c>
      <c r="F14" s="6">
        <v>92</v>
      </c>
      <c r="G14" s="6">
        <v>1</v>
      </c>
      <c r="H14" s="6">
        <v>0</v>
      </c>
      <c r="I14" s="6">
        <v>0.78</v>
      </c>
      <c r="J14" s="6">
        <v>50.5</v>
      </c>
      <c r="K14" s="6">
        <v>50</v>
      </c>
      <c r="L14" s="6">
        <v>51.2</v>
      </c>
      <c r="M14" s="17">
        <f t="shared" si="0"/>
        <v>50.566666666666663</v>
      </c>
    </row>
    <row r="15" spans="1:13" x14ac:dyDescent="0.3">
      <c r="A15" s="5">
        <v>6</v>
      </c>
      <c r="B15" s="5">
        <v>1</v>
      </c>
      <c r="C15" s="6">
        <v>10</v>
      </c>
      <c r="D15" s="6">
        <v>5.5</v>
      </c>
      <c r="E15" s="6">
        <v>6</v>
      </c>
      <c r="F15" s="6">
        <v>94</v>
      </c>
      <c r="G15" s="6">
        <v>1</v>
      </c>
      <c r="H15" s="6">
        <v>0</v>
      </c>
      <c r="I15" s="6">
        <v>0.72</v>
      </c>
      <c r="J15" s="6">
        <v>52.3</v>
      </c>
      <c r="K15" s="6">
        <v>52.4</v>
      </c>
      <c r="L15" s="6">
        <v>51.1</v>
      </c>
      <c r="M15" s="17">
        <f t="shared" si="0"/>
        <v>51.93333333333333</v>
      </c>
    </row>
    <row r="16" spans="1:13" x14ac:dyDescent="0.3">
      <c r="A16" s="5">
        <v>7</v>
      </c>
      <c r="B16" s="5">
        <v>1</v>
      </c>
      <c r="C16" s="6">
        <v>4</v>
      </c>
      <c r="D16" s="6">
        <v>6</v>
      </c>
      <c r="E16" s="6">
        <v>5.5</v>
      </c>
      <c r="F16" s="6">
        <v>94</v>
      </c>
      <c r="G16" s="6">
        <v>1</v>
      </c>
      <c r="H16" s="6">
        <v>0</v>
      </c>
      <c r="I16" s="6">
        <v>0.77</v>
      </c>
      <c r="J16" s="6">
        <v>49.2</v>
      </c>
      <c r="K16" s="6">
        <v>50.1</v>
      </c>
      <c r="L16" s="6">
        <v>50.3</v>
      </c>
      <c r="M16" s="17">
        <f t="shared" si="0"/>
        <v>49.866666666666674</v>
      </c>
    </row>
    <row r="17" spans="1:13" x14ac:dyDescent="0.3">
      <c r="A17" s="5">
        <v>8</v>
      </c>
      <c r="B17" s="5">
        <v>1</v>
      </c>
      <c r="C17" s="6">
        <v>5</v>
      </c>
      <c r="D17" s="6">
        <v>5.5</v>
      </c>
      <c r="E17" s="6">
        <v>5.5</v>
      </c>
      <c r="F17" s="6">
        <v>91</v>
      </c>
      <c r="G17" s="6">
        <v>1</v>
      </c>
      <c r="H17" s="6">
        <v>0</v>
      </c>
      <c r="I17" s="6">
        <v>0.77</v>
      </c>
      <c r="J17" s="6">
        <v>48.2</v>
      </c>
      <c r="K17" s="6">
        <v>47.9</v>
      </c>
      <c r="L17" s="6">
        <v>50.1</v>
      </c>
      <c r="M17" s="17">
        <f t="shared" si="0"/>
        <v>48.733333333333327</v>
      </c>
    </row>
    <row r="18" spans="1:13" x14ac:dyDescent="0.3">
      <c r="A18" s="5">
        <v>9</v>
      </c>
      <c r="B18" s="5">
        <v>1</v>
      </c>
      <c r="C18" s="6">
        <v>11</v>
      </c>
      <c r="D18" s="6">
        <v>6</v>
      </c>
      <c r="E18" s="6">
        <v>6</v>
      </c>
      <c r="F18" s="6">
        <v>93</v>
      </c>
      <c r="G18" s="6">
        <v>1</v>
      </c>
      <c r="H18" s="6">
        <v>0</v>
      </c>
      <c r="I18" s="6">
        <v>0.77</v>
      </c>
      <c r="J18" s="6">
        <v>50.5</v>
      </c>
      <c r="K18" s="6">
        <v>47.8</v>
      </c>
      <c r="L18" s="6">
        <v>45.3</v>
      </c>
      <c r="M18" s="17">
        <f t="shared" si="0"/>
        <v>47.866666666666667</v>
      </c>
    </row>
    <row r="19" spans="1:13" x14ac:dyDescent="0.3">
      <c r="A19" s="5">
        <v>10</v>
      </c>
      <c r="B19" s="5">
        <v>1</v>
      </c>
      <c r="C19" s="6">
        <v>1</v>
      </c>
      <c r="D19" s="6">
        <v>6</v>
      </c>
      <c r="E19" s="6">
        <v>6</v>
      </c>
      <c r="F19" s="6">
        <v>90</v>
      </c>
      <c r="G19" s="6">
        <v>1</v>
      </c>
      <c r="H19" s="6">
        <v>0</v>
      </c>
      <c r="I19" s="6">
        <v>0.79</v>
      </c>
      <c r="J19" s="6">
        <v>47.8</v>
      </c>
      <c r="K19" s="6">
        <v>50.2</v>
      </c>
      <c r="L19" s="6">
        <v>48.5</v>
      </c>
      <c r="M19" s="17">
        <f t="shared" si="0"/>
        <v>48.833333333333336</v>
      </c>
    </row>
    <row r="20" spans="1:13" x14ac:dyDescent="0.3">
      <c r="A20" s="5">
        <v>11</v>
      </c>
      <c r="B20" s="5">
        <v>1</v>
      </c>
      <c r="C20" s="6">
        <v>6</v>
      </c>
      <c r="D20" s="6">
        <v>6</v>
      </c>
      <c r="E20" s="6">
        <v>6</v>
      </c>
      <c r="F20" s="6">
        <v>86</v>
      </c>
      <c r="G20" s="6">
        <v>1</v>
      </c>
      <c r="H20" s="6">
        <v>0</v>
      </c>
      <c r="I20" s="6">
        <v>0.78</v>
      </c>
      <c r="J20" s="6">
        <v>47.6</v>
      </c>
      <c r="K20" s="6">
        <v>50.4</v>
      </c>
      <c r="L20" s="6">
        <v>50.2</v>
      </c>
      <c r="M20" s="17">
        <f t="shared" si="0"/>
        <v>49.4</v>
      </c>
    </row>
    <row r="21" spans="1:13" x14ac:dyDescent="0.3">
      <c r="A21" s="8">
        <v>12</v>
      </c>
      <c r="B21" s="8">
        <v>2</v>
      </c>
      <c r="C21" s="9">
        <v>1</v>
      </c>
      <c r="D21" s="9">
        <v>5</v>
      </c>
      <c r="E21" s="9">
        <v>5</v>
      </c>
      <c r="F21" s="9">
        <v>85</v>
      </c>
      <c r="G21" s="9">
        <v>1</v>
      </c>
      <c r="H21" s="9">
        <v>0</v>
      </c>
      <c r="I21" s="9">
        <v>0.73</v>
      </c>
      <c r="J21" s="9">
        <v>48.3</v>
      </c>
      <c r="K21" s="9">
        <v>51.4</v>
      </c>
      <c r="L21" s="9">
        <v>50.4</v>
      </c>
      <c r="M21" s="19">
        <f t="shared" si="0"/>
        <v>50.033333333333331</v>
      </c>
    </row>
    <row r="22" spans="1:13" x14ac:dyDescent="0.3">
      <c r="A22" s="8">
        <v>13</v>
      </c>
      <c r="B22" s="8">
        <v>2</v>
      </c>
      <c r="C22" s="9">
        <v>6</v>
      </c>
      <c r="D22" s="9">
        <v>5.5</v>
      </c>
      <c r="E22" s="9">
        <v>6</v>
      </c>
      <c r="F22" s="9">
        <v>88</v>
      </c>
      <c r="G22" s="9">
        <v>1</v>
      </c>
      <c r="H22" s="9">
        <v>0</v>
      </c>
      <c r="I22" s="9">
        <v>0.76</v>
      </c>
      <c r="J22" s="9">
        <v>50.1</v>
      </c>
      <c r="K22" s="9">
        <v>51.3</v>
      </c>
      <c r="L22" s="9">
        <v>49</v>
      </c>
      <c r="M22" s="19">
        <f t="shared" si="0"/>
        <v>50.133333333333333</v>
      </c>
    </row>
    <row r="23" spans="1:13" x14ac:dyDescent="0.3">
      <c r="A23" s="11" t="s">
        <v>17</v>
      </c>
      <c r="B23" s="11" t="s">
        <v>17</v>
      </c>
      <c r="C23" s="11" t="s">
        <v>17</v>
      </c>
      <c r="D23" s="11" t="s">
        <v>17</v>
      </c>
      <c r="E23" s="11" t="s">
        <v>17</v>
      </c>
      <c r="F23" s="11" t="s">
        <v>17</v>
      </c>
      <c r="G23" s="11" t="s">
        <v>17</v>
      </c>
      <c r="H23" s="11" t="s">
        <v>17</v>
      </c>
      <c r="I23" s="11"/>
      <c r="J23" s="11" t="s">
        <v>17</v>
      </c>
      <c r="K23" s="11" t="s">
        <v>17</v>
      </c>
      <c r="L23" s="11" t="s">
        <v>17</v>
      </c>
      <c r="M23" s="11" t="s">
        <v>17</v>
      </c>
    </row>
    <row r="24" spans="1:13" x14ac:dyDescent="0.3">
      <c r="A24" s="8">
        <v>14</v>
      </c>
      <c r="B24" s="8">
        <v>2</v>
      </c>
      <c r="C24" s="9">
        <v>10</v>
      </c>
      <c r="D24" s="9">
        <v>6</v>
      </c>
      <c r="E24" s="9">
        <v>6</v>
      </c>
      <c r="F24" s="9">
        <v>90</v>
      </c>
      <c r="G24" s="9">
        <v>1</v>
      </c>
      <c r="H24" s="9">
        <v>0</v>
      </c>
      <c r="I24" s="9">
        <v>0.78</v>
      </c>
      <c r="J24" s="9">
        <v>49.1</v>
      </c>
      <c r="K24" s="9">
        <v>49.2</v>
      </c>
      <c r="L24" s="9">
        <v>49.5</v>
      </c>
      <c r="M24" s="19">
        <f t="shared" si="0"/>
        <v>49.266666666666673</v>
      </c>
    </row>
    <row r="25" spans="1:13" x14ac:dyDescent="0.3">
      <c r="A25" s="8">
        <v>15</v>
      </c>
      <c r="B25" s="8">
        <v>2</v>
      </c>
      <c r="C25" s="9">
        <v>3</v>
      </c>
      <c r="D25" s="9">
        <v>6</v>
      </c>
      <c r="E25" s="9">
        <v>6</v>
      </c>
      <c r="F25" s="9">
        <v>90</v>
      </c>
      <c r="G25" s="9">
        <v>1</v>
      </c>
      <c r="H25" s="9">
        <v>0</v>
      </c>
      <c r="I25" s="9">
        <v>0.74</v>
      </c>
      <c r="J25" s="9">
        <v>47.6</v>
      </c>
      <c r="K25" s="9">
        <v>45.2</v>
      </c>
      <c r="L25" s="10">
        <v>47.2</v>
      </c>
      <c r="M25" s="19">
        <f t="shared" si="0"/>
        <v>46.666666666666664</v>
      </c>
    </row>
    <row r="26" spans="1:13" x14ac:dyDescent="0.3">
      <c r="A26" s="8">
        <v>16</v>
      </c>
      <c r="B26" s="8">
        <v>2</v>
      </c>
      <c r="C26" s="9">
        <v>4</v>
      </c>
      <c r="D26" s="9">
        <v>6</v>
      </c>
      <c r="E26" s="9">
        <v>6</v>
      </c>
      <c r="F26" s="9">
        <v>91</v>
      </c>
      <c r="G26" s="9">
        <v>1</v>
      </c>
      <c r="H26" s="9">
        <v>0</v>
      </c>
      <c r="I26" s="9">
        <v>0.76</v>
      </c>
      <c r="J26" s="9">
        <v>46.2</v>
      </c>
      <c r="K26" s="9">
        <v>45.6</v>
      </c>
      <c r="L26" s="9">
        <v>49.1</v>
      </c>
      <c r="M26" s="19">
        <f t="shared" si="0"/>
        <v>46.966666666666669</v>
      </c>
    </row>
    <row r="27" spans="1:13" x14ac:dyDescent="0.3">
      <c r="A27" s="8">
        <v>17</v>
      </c>
      <c r="B27" s="8">
        <v>2</v>
      </c>
      <c r="C27" s="9">
        <v>2</v>
      </c>
      <c r="D27" s="9">
        <v>6.5</v>
      </c>
      <c r="E27" s="9">
        <v>6.5</v>
      </c>
      <c r="F27" s="9">
        <v>89</v>
      </c>
      <c r="G27" s="9">
        <v>1</v>
      </c>
      <c r="H27" s="9">
        <v>0</v>
      </c>
      <c r="I27" s="9">
        <v>0.81</v>
      </c>
      <c r="J27" s="9">
        <v>50</v>
      </c>
      <c r="K27" s="9">
        <v>45.6</v>
      </c>
      <c r="L27" s="9">
        <v>47</v>
      </c>
      <c r="M27" s="19">
        <f t="shared" si="0"/>
        <v>47.533333333333331</v>
      </c>
    </row>
    <row r="28" spans="1:13" x14ac:dyDescent="0.3">
      <c r="A28" s="8">
        <v>18</v>
      </c>
      <c r="B28" s="8">
        <v>2</v>
      </c>
      <c r="C28" s="9">
        <v>11</v>
      </c>
      <c r="D28" s="9">
        <v>6</v>
      </c>
      <c r="E28" s="9">
        <v>5.5</v>
      </c>
      <c r="F28" s="9">
        <v>86</v>
      </c>
      <c r="G28" s="9">
        <v>1</v>
      </c>
      <c r="H28" s="9">
        <v>0</v>
      </c>
      <c r="I28" s="9">
        <v>0.76</v>
      </c>
      <c r="J28" s="9">
        <v>47.6</v>
      </c>
      <c r="K28" s="9">
        <v>48.6</v>
      </c>
      <c r="L28" s="9">
        <v>49.1</v>
      </c>
      <c r="M28" s="19">
        <f t="shared" si="0"/>
        <v>48.433333333333337</v>
      </c>
    </row>
    <row r="29" spans="1:13" x14ac:dyDescent="0.3">
      <c r="A29" s="8">
        <v>19</v>
      </c>
      <c r="B29" s="8">
        <v>2</v>
      </c>
      <c r="C29" s="9">
        <v>7</v>
      </c>
      <c r="D29" s="9">
        <v>6</v>
      </c>
      <c r="E29" s="9">
        <v>6</v>
      </c>
      <c r="F29" s="9">
        <v>92</v>
      </c>
      <c r="G29" s="9">
        <v>1</v>
      </c>
      <c r="H29" s="9">
        <v>0</v>
      </c>
      <c r="I29" s="9">
        <v>0.77</v>
      </c>
      <c r="J29" s="9">
        <v>49.2</v>
      </c>
      <c r="K29" s="9">
        <v>49.6</v>
      </c>
      <c r="L29" s="9">
        <v>47.5</v>
      </c>
      <c r="M29" s="19">
        <f t="shared" si="0"/>
        <v>48.766666666666673</v>
      </c>
    </row>
    <row r="30" spans="1:13" x14ac:dyDescent="0.3">
      <c r="A30" s="8">
        <v>20</v>
      </c>
      <c r="B30" s="8">
        <v>2</v>
      </c>
      <c r="C30" s="9">
        <v>9</v>
      </c>
      <c r="D30" s="10">
        <v>5.5</v>
      </c>
      <c r="E30" s="9">
        <v>5.5</v>
      </c>
      <c r="F30" s="9">
        <v>87</v>
      </c>
      <c r="G30" s="9">
        <v>1</v>
      </c>
      <c r="H30" s="9">
        <v>0</v>
      </c>
      <c r="I30" s="9">
        <v>0.74</v>
      </c>
      <c r="J30" s="9">
        <v>49.3</v>
      </c>
      <c r="K30" s="9">
        <v>47.8</v>
      </c>
      <c r="L30" s="9">
        <v>47</v>
      </c>
      <c r="M30" s="19">
        <f t="shared" si="0"/>
        <v>48.033333333333331</v>
      </c>
    </row>
    <row r="31" spans="1:13" x14ac:dyDescent="0.3">
      <c r="A31" s="8">
        <v>21</v>
      </c>
      <c r="B31" s="8">
        <v>2</v>
      </c>
      <c r="C31" s="9">
        <v>5</v>
      </c>
      <c r="D31" s="9">
        <v>6</v>
      </c>
      <c r="E31" s="9">
        <v>6</v>
      </c>
      <c r="F31" s="9">
        <v>87</v>
      </c>
      <c r="G31" s="9">
        <v>1</v>
      </c>
      <c r="H31" s="9">
        <v>0</v>
      </c>
      <c r="I31" s="9">
        <v>0.77</v>
      </c>
      <c r="J31" s="9">
        <v>50.2</v>
      </c>
      <c r="K31" s="9">
        <v>50.4</v>
      </c>
      <c r="L31" s="9">
        <v>45.9</v>
      </c>
      <c r="M31" s="19">
        <f t="shared" si="0"/>
        <v>48.833333333333336</v>
      </c>
    </row>
    <row r="32" spans="1:13" x14ac:dyDescent="0.3">
      <c r="A32" s="8">
        <v>22</v>
      </c>
      <c r="B32" s="8">
        <v>2</v>
      </c>
      <c r="C32" s="9">
        <v>8</v>
      </c>
      <c r="D32" s="9">
        <v>6</v>
      </c>
      <c r="E32" s="9">
        <v>6</v>
      </c>
      <c r="F32" s="9">
        <v>85</v>
      </c>
      <c r="G32" s="9">
        <v>1</v>
      </c>
      <c r="H32" s="9">
        <v>0</v>
      </c>
      <c r="I32" s="9">
        <v>0.79</v>
      </c>
      <c r="J32" s="9">
        <v>48.2</v>
      </c>
      <c r="K32" s="9">
        <v>47.5</v>
      </c>
      <c r="L32" s="9">
        <v>44.4</v>
      </c>
      <c r="M32" s="19">
        <f t="shared" si="0"/>
        <v>46.699999999999996</v>
      </c>
    </row>
    <row r="33" spans="1:13" x14ac:dyDescent="0.3">
      <c r="A33" s="5">
        <v>23</v>
      </c>
      <c r="B33" s="6">
        <v>3</v>
      </c>
      <c r="C33" s="6">
        <v>4</v>
      </c>
      <c r="D33" s="6">
        <v>6</v>
      </c>
      <c r="E33" s="6">
        <v>5.5</v>
      </c>
      <c r="F33" s="6">
        <v>85</v>
      </c>
      <c r="G33" s="6">
        <v>1</v>
      </c>
      <c r="H33" s="6">
        <v>0</v>
      </c>
      <c r="I33" s="6">
        <v>0.77</v>
      </c>
      <c r="J33" s="6">
        <v>54.2</v>
      </c>
      <c r="K33" s="6">
        <v>50.3</v>
      </c>
      <c r="L33" s="6">
        <v>49.8</v>
      </c>
      <c r="M33" s="17">
        <f t="shared" si="0"/>
        <v>51.433333333333337</v>
      </c>
    </row>
    <row r="34" spans="1:13" x14ac:dyDescent="0.3">
      <c r="A34" s="5">
        <v>24</v>
      </c>
      <c r="B34" s="6">
        <v>3</v>
      </c>
      <c r="C34" s="6">
        <v>1</v>
      </c>
      <c r="D34" s="6">
        <v>6</v>
      </c>
      <c r="E34" s="6">
        <v>5.5</v>
      </c>
      <c r="F34" s="6">
        <v>85</v>
      </c>
      <c r="G34" s="6">
        <v>1</v>
      </c>
      <c r="H34" s="6">
        <v>0</v>
      </c>
      <c r="I34" s="7">
        <v>0.77</v>
      </c>
      <c r="J34" s="6">
        <v>50.2</v>
      </c>
      <c r="K34" s="6">
        <v>48.5</v>
      </c>
      <c r="L34" s="6">
        <v>47.4</v>
      </c>
      <c r="M34" s="17">
        <f t="shared" si="0"/>
        <v>48.699999999999996</v>
      </c>
    </row>
    <row r="35" spans="1:13" x14ac:dyDescent="0.3">
      <c r="A35" s="5">
        <v>25</v>
      </c>
      <c r="B35" s="6">
        <v>3</v>
      </c>
      <c r="C35" s="6">
        <v>9</v>
      </c>
      <c r="D35" s="6">
        <v>5.5</v>
      </c>
      <c r="E35" s="6">
        <v>5.5</v>
      </c>
      <c r="F35" s="6">
        <v>92</v>
      </c>
      <c r="G35" s="6">
        <v>1</v>
      </c>
      <c r="H35" s="6">
        <v>0</v>
      </c>
      <c r="I35" s="6">
        <v>0.75</v>
      </c>
      <c r="J35" s="6">
        <v>48.9</v>
      </c>
      <c r="K35" s="6">
        <v>50.2</v>
      </c>
      <c r="L35" s="6">
        <v>46.2</v>
      </c>
      <c r="M35" s="17">
        <f t="shared" si="0"/>
        <v>48.433333333333337</v>
      </c>
    </row>
    <row r="36" spans="1:13" x14ac:dyDescent="0.3">
      <c r="A36" s="5">
        <v>26</v>
      </c>
      <c r="B36" s="6">
        <v>3</v>
      </c>
      <c r="C36" s="6">
        <v>2</v>
      </c>
      <c r="D36" s="6">
        <v>6</v>
      </c>
      <c r="E36" s="6">
        <v>6</v>
      </c>
      <c r="F36" s="6">
        <v>89</v>
      </c>
      <c r="G36" s="6">
        <v>1</v>
      </c>
      <c r="H36" s="6">
        <v>0</v>
      </c>
      <c r="I36" s="6">
        <v>0.79</v>
      </c>
      <c r="J36" s="6">
        <v>49.2</v>
      </c>
      <c r="K36" s="6">
        <v>49.6</v>
      </c>
      <c r="L36" s="6">
        <v>47</v>
      </c>
      <c r="M36" s="17">
        <f t="shared" si="0"/>
        <v>48.6</v>
      </c>
    </row>
    <row r="37" spans="1:13" x14ac:dyDescent="0.3">
      <c r="A37" s="5">
        <v>27</v>
      </c>
      <c r="B37" s="6">
        <v>3</v>
      </c>
      <c r="C37" s="6">
        <v>6</v>
      </c>
      <c r="D37" s="6">
        <v>6</v>
      </c>
      <c r="E37" s="6">
        <v>6</v>
      </c>
      <c r="F37" s="6">
        <v>85</v>
      </c>
      <c r="G37" s="6">
        <v>1</v>
      </c>
      <c r="H37" s="6">
        <v>0</v>
      </c>
      <c r="I37" s="6">
        <v>0.76</v>
      </c>
      <c r="J37" s="6">
        <v>50.1</v>
      </c>
      <c r="K37" s="6">
        <v>45.4</v>
      </c>
      <c r="L37" s="6">
        <v>47.4</v>
      </c>
      <c r="M37" s="17">
        <f t="shared" si="0"/>
        <v>47.633333333333333</v>
      </c>
    </row>
    <row r="38" spans="1:13" x14ac:dyDescent="0.3">
      <c r="A38" s="5">
        <v>28</v>
      </c>
      <c r="B38" s="6">
        <v>3</v>
      </c>
      <c r="C38" s="6">
        <v>11</v>
      </c>
      <c r="D38" s="6">
        <v>6</v>
      </c>
      <c r="E38" s="6">
        <v>6</v>
      </c>
      <c r="F38" s="6">
        <v>87</v>
      </c>
      <c r="G38" s="6">
        <v>1</v>
      </c>
      <c r="H38" s="6">
        <v>0</v>
      </c>
      <c r="I38" s="6">
        <v>0.78</v>
      </c>
      <c r="J38" s="6">
        <v>45.5</v>
      </c>
      <c r="K38" s="6">
        <v>46.2</v>
      </c>
      <c r="L38" s="6">
        <v>43</v>
      </c>
      <c r="M38" s="17">
        <f t="shared" si="0"/>
        <v>44.9</v>
      </c>
    </row>
    <row r="39" spans="1:13" x14ac:dyDescent="0.3">
      <c r="A39" s="5">
        <v>29</v>
      </c>
      <c r="B39" s="6">
        <v>3</v>
      </c>
      <c r="C39" s="6">
        <v>5</v>
      </c>
      <c r="D39" s="6">
        <v>5.5</v>
      </c>
      <c r="E39" s="6">
        <v>5.5</v>
      </c>
      <c r="F39" s="6">
        <v>89</v>
      </c>
      <c r="G39" s="6">
        <v>1</v>
      </c>
      <c r="H39" s="6">
        <v>0</v>
      </c>
      <c r="I39" s="6">
        <v>0.77</v>
      </c>
      <c r="J39" s="6">
        <v>52.4</v>
      </c>
      <c r="K39" s="6">
        <v>49.6</v>
      </c>
      <c r="L39" s="6">
        <v>47.4</v>
      </c>
      <c r="M39" s="17">
        <f t="shared" si="0"/>
        <v>49.800000000000004</v>
      </c>
    </row>
    <row r="40" spans="1:13" x14ac:dyDescent="0.3">
      <c r="A40" s="11" t="s">
        <v>17</v>
      </c>
      <c r="B40" s="11" t="s">
        <v>17</v>
      </c>
      <c r="C40" s="11" t="s">
        <v>17</v>
      </c>
      <c r="D40" s="11" t="s">
        <v>17</v>
      </c>
      <c r="E40" s="11" t="s">
        <v>17</v>
      </c>
      <c r="F40" s="11" t="s">
        <v>17</v>
      </c>
      <c r="G40" s="11" t="s">
        <v>17</v>
      </c>
      <c r="H40" s="11" t="s">
        <v>17</v>
      </c>
      <c r="I40" s="11" t="s">
        <v>17</v>
      </c>
      <c r="J40" s="11" t="s">
        <v>17</v>
      </c>
      <c r="K40" s="11" t="s">
        <v>17</v>
      </c>
      <c r="L40" s="11" t="s">
        <v>17</v>
      </c>
      <c r="M40" s="11" t="s">
        <v>17</v>
      </c>
    </row>
    <row r="41" spans="1:13" x14ac:dyDescent="0.3">
      <c r="A41" s="5">
        <v>30</v>
      </c>
      <c r="B41" s="6">
        <v>3</v>
      </c>
      <c r="C41" s="6">
        <v>8</v>
      </c>
      <c r="D41" s="6">
        <v>5.5</v>
      </c>
      <c r="E41" s="6">
        <v>5.5</v>
      </c>
      <c r="F41" s="6">
        <v>85</v>
      </c>
      <c r="G41" s="6">
        <v>1</v>
      </c>
      <c r="H41" s="6">
        <v>0</v>
      </c>
      <c r="I41" s="6">
        <v>0.74</v>
      </c>
      <c r="J41" s="6">
        <v>50.6</v>
      </c>
      <c r="K41" s="6">
        <v>56.2</v>
      </c>
      <c r="L41" s="6">
        <v>52.1</v>
      </c>
      <c r="M41" s="17">
        <f t="shared" si="0"/>
        <v>52.966666666666669</v>
      </c>
    </row>
    <row r="42" spans="1:13" x14ac:dyDescent="0.3">
      <c r="A42" s="5">
        <v>31</v>
      </c>
      <c r="B42" s="6">
        <v>3</v>
      </c>
      <c r="C42" s="6">
        <v>3</v>
      </c>
      <c r="D42" s="6">
        <v>6</v>
      </c>
      <c r="E42" s="6">
        <v>5.5</v>
      </c>
      <c r="F42" s="6">
        <v>87</v>
      </c>
      <c r="G42" s="6">
        <v>1</v>
      </c>
      <c r="H42" s="6">
        <v>0</v>
      </c>
      <c r="I42" s="6">
        <v>0.73</v>
      </c>
      <c r="J42" s="6">
        <v>51.3</v>
      </c>
      <c r="K42" s="6">
        <v>50.6</v>
      </c>
      <c r="L42" s="6">
        <v>49.4</v>
      </c>
      <c r="M42" s="17">
        <f t="shared" si="0"/>
        <v>50.433333333333337</v>
      </c>
    </row>
    <row r="43" spans="1:13" x14ac:dyDescent="0.3">
      <c r="A43" s="5">
        <v>32</v>
      </c>
      <c r="B43" s="6">
        <v>3</v>
      </c>
      <c r="C43" s="6">
        <v>7</v>
      </c>
      <c r="D43" s="6">
        <v>6</v>
      </c>
      <c r="E43" s="6">
        <v>6</v>
      </c>
      <c r="F43" s="6">
        <v>88</v>
      </c>
      <c r="G43" s="6">
        <v>1</v>
      </c>
      <c r="H43" s="6">
        <v>0</v>
      </c>
      <c r="I43" s="6">
        <v>0.75</v>
      </c>
      <c r="J43" s="6">
        <v>44</v>
      </c>
      <c r="K43" s="6">
        <v>48.2</v>
      </c>
      <c r="L43" s="6">
        <v>50.9</v>
      </c>
      <c r="M43" s="17">
        <f t="shared" si="0"/>
        <v>47.699999999999996</v>
      </c>
    </row>
    <row r="44" spans="1:13" x14ac:dyDescent="0.3">
      <c r="A44" s="5">
        <v>33</v>
      </c>
      <c r="B44" s="6">
        <v>3</v>
      </c>
      <c r="C44" s="6">
        <v>10</v>
      </c>
      <c r="D44" s="6">
        <v>6</v>
      </c>
      <c r="E44" s="6">
        <v>6</v>
      </c>
      <c r="F44" s="6">
        <v>86</v>
      </c>
      <c r="G44" s="6">
        <v>1</v>
      </c>
      <c r="H44" s="6">
        <v>0</v>
      </c>
      <c r="I44" s="6">
        <v>0.73</v>
      </c>
      <c r="J44" s="6">
        <v>50.3</v>
      </c>
      <c r="K44" s="6">
        <v>45.3</v>
      </c>
      <c r="L44" s="6">
        <v>55.1</v>
      </c>
      <c r="M44" s="17">
        <f t="shared" si="0"/>
        <v>50.233333333333327</v>
      </c>
    </row>
    <row r="45" spans="1:13" x14ac:dyDescent="0.3">
      <c r="A45" s="8">
        <v>34</v>
      </c>
      <c r="B45" s="9">
        <v>4</v>
      </c>
      <c r="C45" s="9">
        <v>7</v>
      </c>
      <c r="D45" s="10">
        <v>6</v>
      </c>
      <c r="E45" s="9">
        <v>6</v>
      </c>
      <c r="F45" s="9">
        <v>90</v>
      </c>
      <c r="G45" s="9">
        <v>1</v>
      </c>
      <c r="H45" s="9">
        <v>0</v>
      </c>
      <c r="I45" s="9">
        <v>0.75</v>
      </c>
      <c r="J45" s="9">
        <v>46.3</v>
      </c>
      <c r="K45" s="9">
        <v>47.5</v>
      </c>
      <c r="L45" s="9">
        <v>53.2</v>
      </c>
      <c r="M45" s="19">
        <f t="shared" si="0"/>
        <v>49</v>
      </c>
    </row>
    <row r="46" spans="1:13" x14ac:dyDescent="0.3">
      <c r="A46" s="8">
        <v>35</v>
      </c>
      <c r="B46" s="9">
        <v>4</v>
      </c>
      <c r="C46" s="9">
        <v>8</v>
      </c>
      <c r="D46" s="9">
        <v>5.5</v>
      </c>
      <c r="E46" s="9">
        <v>6</v>
      </c>
      <c r="F46" s="9">
        <v>87</v>
      </c>
      <c r="G46" s="9">
        <v>1</v>
      </c>
      <c r="H46" s="9">
        <v>0</v>
      </c>
      <c r="I46" s="9">
        <v>0.74</v>
      </c>
      <c r="J46" s="9">
        <v>50.5</v>
      </c>
      <c r="K46" s="9">
        <v>52</v>
      </c>
      <c r="L46" s="9">
        <v>51.4</v>
      </c>
      <c r="M46" s="19">
        <f t="shared" si="0"/>
        <v>51.300000000000004</v>
      </c>
    </row>
    <row r="47" spans="1:13" x14ac:dyDescent="0.3">
      <c r="A47" s="8">
        <v>36</v>
      </c>
      <c r="B47" s="9">
        <v>4</v>
      </c>
      <c r="C47" s="9">
        <v>11</v>
      </c>
      <c r="D47" s="9">
        <v>5.5</v>
      </c>
      <c r="E47" s="9">
        <v>5.5</v>
      </c>
      <c r="F47" s="9">
        <v>85</v>
      </c>
      <c r="G47" s="9">
        <v>1</v>
      </c>
      <c r="H47" s="9">
        <v>0</v>
      </c>
      <c r="I47" s="9">
        <v>0.7</v>
      </c>
      <c r="J47" s="9">
        <v>49.2</v>
      </c>
      <c r="K47" s="9">
        <v>50.1</v>
      </c>
      <c r="L47" s="9">
        <v>49.9</v>
      </c>
      <c r="M47" s="19">
        <f t="shared" si="0"/>
        <v>49.733333333333341</v>
      </c>
    </row>
    <row r="48" spans="1:13" x14ac:dyDescent="0.3">
      <c r="A48" s="8">
        <v>37</v>
      </c>
      <c r="B48" s="9">
        <v>4</v>
      </c>
      <c r="C48" s="9">
        <v>5</v>
      </c>
      <c r="D48" s="9">
        <v>6</v>
      </c>
      <c r="E48" s="9">
        <v>6</v>
      </c>
      <c r="F48" s="9">
        <v>87</v>
      </c>
      <c r="G48" s="9">
        <v>1</v>
      </c>
      <c r="H48" s="9">
        <v>0</v>
      </c>
      <c r="I48" s="9">
        <v>0.76</v>
      </c>
      <c r="J48" s="9">
        <v>51.2</v>
      </c>
      <c r="K48" s="9">
        <v>53.2</v>
      </c>
      <c r="L48" s="9">
        <v>43.7</v>
      </c>
      <c r="M48" s="19">
        <f t="shared" si="0"/>
        <v>49.366666666666674</v>
      </c>
    </row>
    <row r="49" spans="1:13" x14ac:dyDescent="0.3">
      <c r="A49" s="8">
        <v>38</v>
      </c>
      <c r="B49" s="9">
        <v>4</v>
      </c>
      <c r="C49" s="9">
        <v>9</v>
      </c>
      <c r="D49" s="9">
        <v>5.5</v>
      </c>
      <c r="E49" s="9">
        <v>5.5</v>
      </c>
      <c r="F49" s="9">
        <v>88</v>
      </c>
      <c r="G49" s="9">
        <v>1</v>
      </c>
      <c r="H49" s="9">
        <v>0</v>
      </c>
      <c r="I49" s="9">
        <v>0.75</v>
      </c>
      <c r="J49" s="9">
        <v>54.6</v>
      </c>
      <c r="K49" s="9">
        <v>48.9</v>
      </c>
      <c r="L49" s="9">
        <v>49.8</v>
      </c>
      <c r="M49" s="19">
        <f t="shared" si="0"/>
        <v>51.1</v>
      </c>
    </row>
    <row r="50" spans="1:13" x14ac:dyDescent="0.3">
      <c r="A50" s="11" t="s">
        <v>17</v>
      </c>
      <c r="B50" s="11" t="s">
        <v>17</v>
      </c>
      <c r="C50" s="11" t="s">
        <v>17</v>
      </c>
      <c r="D50" s="11" t="s">
        <v>17</v>
      </c>
      <c r="E50" s="11" t="s">
        <v>17</v>
      </c>
      <c r="F50" s="11" t="s">
        <v>17</v>
      </c>
      <c r="G50" s="11" t="s">
        <v>17</v>
      </c>
      <c r="H50" s="11" t="s">
        <v>17</v>
      </c>
      <c r="I50" s="11" t="s">
        <v>17</v>
      </c>
      <c r="J50" s="11" t="s">
        <v>17</v>
      </c>
      <c r="K50" s="11" t="s">
        <v>17</v>
      </c>
      <c r="L50" s="11" t="s">
        <v>17</v>
      </c>
      <c r="M50" s="11" t="s">
        <v>17</v>
      </c>
    </row>
    <row r="51" spans="1:13" x14ac:dyDescent="0.3">
      <c r="A51" s="8">
        <v>39</v>
      </c>
      <c r="B51" s="9">
        <v>4</v>
      </c>
      <c r="C51" s="9">
        <v>6</v>
      </c>
      <c r="D51" s="9">
        <v>6</v>
      </c>
      <c r="E51" s="9">
        <v>6</v>
      </c>
      <c r="F51" s="9">
        <v>86</v>
      </c>
      <c r="G51" s="9">
        <v>1</v>
      </c>
      <c r="H51" s="9">
        <v>0</v>
      </c>
      <c r="I51" s="9">
        <v>0.77</v>
      </c>
      <c r="J51" s="9">
        <v>53.3</v>
      </c>
      <c r="K51" s="9">
        <v>48.5</v>
      </c>
      <c r="L51" s="9">
        <v>52.9</v>
      </c>
      <c r="M51" s="19">
        <f t="shared" si="0"/>
        <v>51.566666666666663</v>
      </c>
    </row>
    <row r="52" spans="1:13" x14ac:dyDescent="0.3">
      <c r="A52" s="8">
        <v>40</v>
      </c>
      <c r="B52" s="9">
        <v>4</v>
      </c>
      <c r="C52" s="9">
        <v>2</v>
      </c>
      <c r="D52" s="9">
        <v>6</v>
      </c>
      <c r="E52" s="10">
        <v>6</v>
      </c>
      <c r="F52" s="9">
        <v>86</v>
      </c>
      <c r="G52" s="9">
        <v>1</v>
      </c>
      <c r="H52" s="9">
        <v>0</v>
      </c>
      <c r="I52" s="9">
        <v>0.74</v>
      </c>
      <c r="J52" s="10">
        <v>48.9</v>
      </c>
      <c r="K52" s="10">
        <v>54.5</v>
      </c>
      <c r="L52" s="9">
        <v>49.3</v>
      </c>
      <c r="M52" s="19">
        <f t="shared" si="0"/>
        <v>50.9</v>
      </c>
    </row>
    <row r="53" spans="1:13" x14ac:dyDescent="0.3">
      <c r="A53" s="8">
        <v>41</v>
      </c>
      <c r="B53" s="9">
        <v>4</v>
      </c>
      <c r="C53" s="9">
        <v>10</v>
      </c>
      <c r="D53" s="9">
        <v>6</v>
      </c>
      <c r="E53" s="9">
        <v>6</v>
      </c>
      <c r="F53" s="9">
        <v>85</v>
      </c>
      <c r="G53" s="9">
        <v>1</v>
      </c>
      <c r="H53" s="9">
        <v>0</v>
      </c>
      <c r="I53" s="9">
        <v>0.77</v>
      </c>
      <c r="J53" s="9">
        <v>49</v>
      </c>
      <c r="K53" s="9">
        <v>53.2</v>
      </c>
      <c r="L53" s="9">
        <v>48.3</v>
      </c>
      <c r="M53" s="19">
        <f t="shared" si="0"/>
        <v>50.166666666666664</v>
      </c>
    </row>
    <row r="54" spans="1:13" x14ac:dyDescent="0.3">
      <c r="A54" s="8">
        <v>42</v>
      </c>
      <c r="B54" s="9">
        <v>4</v>
      </c>
      <c r="C54" s="9">
        <v>1</v>
      </c>
      <c r="D54" s="9">
        <v>6.5</v>
      </c>
      <c r="E54" s="9">
        <v>6</v>
      </c>
      <c r="F54" s="9">
        <v>87</v>
      </c>
      <c r="G54" s="9">
        <v>1</v>
      </c>
      <c r="H54" s="9">
        <v>0</v>
      </c>
      <c r="I54" s="9">
        <v>0.75</v>
      </c>
      <c r="J54" s="9">
        <v>52.3</v>
      </c>
      <c r="K54" s="9">
        <v>52.4</v>
      </c>
      <c r="L54" s="9">
        <v>48.8</v>
      </c>
      <c r="M54" s="19">
        <f t="shared" si="0"/>
        <v>51.166666666666664</v>
      </c>
    </row>
    <row r="55" spans="1:13" x14ac:dyDescent="0.3">
      <c r="A55" s="8">
        <v>43</v>
      </c>
      <c r="B55" s="9">
        <v>4</v>
      </c>
      <c r="C55" s="9">
        <v>4</v>
      </c>
      <c r="D55" s="9">
        <v>6</v>
      </c>
      <c r="E55" s="9">
        <v>6</v>
      </c>
      <c r="F55" s="9">
        <v>88</v>
      </c>
      <c r="G55" s="9">
        <v>1</v>
      </c>
      <c r="H55" s="9">
        <v>0</v>
      </c>
      <c r="I55" s="9">
        <v>0.78</v>
      </c>
      <c r="J55" s="9">
        <v>51.2</v>
      </c>
      <c r="K55" s="9">
        <v>55.3</v>
      </c>
      <c r="L55" s="9">
        <v>52.4</v>
      </c>
      <c r="M55" s="19">
        <f t="shared" si="0"/>
        <v>52.966666666666669</v>
      </c>
    </row>
    <row r="56" spans="1:13" x14ac:dyDescent="0.3">
      <c r="A56" s="8">
        <v>44</v>
      </c>
      <c r="B56" s="9">
        <v>4</v>
      </c>
      <c r="C56" s="9">
        <v>3</v>
      </c>
      <c r="D56" s="9">
        <v>6</v>
      </c>
      <c r="E56" s="9">
        <v>6</v>
      </c>
      <c r="F56" s="9">
        <v>91</v>
      </c>
      <c r="G56" s="9">
        <v>1</v>
      </c>
      <c r="H56" s="9">
        <v>0</v>
      </c>
      <c r="I56" s="9">
        <v>0.76</v>
      </c>
      <c r="J56" s="9">
        <v>53.2</v>
      </c>
      <c r="K56" s="9">
        <v>51.6</v>
      </c>
      <c r="L56" s="9">
        <v>55.8</v>
      </c>
      <c r="M56" s="19">
        <f t="shared" si="0"/>
        <v>53.533333333333339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6"/>
  <sheetViews>
    <sheetView workbookViewId="0">
      <selection activeCell="Q11" sqref="Q11"/>
    </sheetView>
  </sheetViews>
  <sheetFormatPr defaultRowHeight="14.4" x14ac:dyDescent="0.3"/>
  <sheetData>
    <row r="1" spans="1:13" x14ac:dyDescent="0.3">
      <c r="A1" t="s">
        <v>7</v>
      </c>
      <c r="C1" t="s">
        <v>8</v>
      </c>
    </row>
    <row r="2" spans="1:13" x14ac:dyDescent="0.3">
      <c r="A2" s="1" t="s">
        <v>13</v>
      </c>
      <c r="B2" t="s">
        <v>31</v>
      </c>
    </row>
    <row r="3" spans="1:13" x14ac:dyDescent="0.3">
      <c r="A3" s="1" t="s">
        <v>12</v>
      </c>
      <c r="B3" t="s">
        <v>24</v>
      </c>
    </row>
    <row r="4" spans="1:13" x14ac:dyDescent="0.3">
      <c r="A4" s="1" t="s">
        <v>11</v>
      </c>
      <c r="B4" t="s">
        <v>25</v>
      </c>
    </row>
    <row r="5" spans="1:13" x14ac:dyDescent="0.3">
      <c r="A5" t="s">
        <v>6</v>
      </c>
      <c r="B5" t="s">
        <v>32</v>
      </c>
    </row>
    <row r="6" spans="1:13" ht="15" thickBot="1" x14ac:dyDescent="0.35">
      <c r="A6" s="1" t="s">
        <v>0</v>
      </c>
    </row>
    <row r="7" spans="1:13" ht="15" thickBot="1" x14ac:dyDescent="0.35">
      <c r="A7" s="1"/>
      <c r="J7" s="12"/>
      <c r="K7" s="13" t="s">
        <v>9</v>
      </c>
      <c r="L7" s="14"/>
      <c r="M7" s="15"/>
    </row>
    <row r="8" spans="1:13" ht="15" thickBot="1" x14ac:dyDescent="0.35">
      <c r="A8" s="2" t="s">
        <v>1</v>
      </c>
      <c r="B8" s="3" t="s">
        <v>2</v>
      </c>
      <c r="C8" s="4" t="s">
        <v>3</v>
      </c>
      <c r="D8" s="2" t="s">
        <v>4</v>
      </c>
      <c r="E8" s="3" t="s">
        <v>5</v>
      </c>
      <c r="F8" s="3" t="s">
        <v>16</v>
      </c>
      <c r="G8" s="3" t="s">
        <v>14</v>
      </c>
      <c r="H8" s="3" t="s">
        <v>15</v>
      </c>
      <c r="I8" s="3" t="s">
        <v>10</v>
      </c>
      <c r="J8" s="16" t="s">
        <v>18</v>
      </c>
      <c r="K8" s="16" t="s">
        <v>19</v>
      </c>
      <c r="L8" s="16" t="s">
        <v>20</v>
      </c>
      <c r="M8" s="16" t="s">
        <v>21</v>
      </c>
    </row>
    <row r="9" spans="1:13" x14ac:dyDescent="0.3">
      <c r="A9" s="5">
        <v>1</v>
      </c>
      <c r="B9" s="5">
        <v>1</v>
      </c>
      <c r="C9" s="5">
        <v>8</v>
      </c>
      <c r="D9" s="6">
        <v>5.5</v>
      </c>
      <c r="E9" s="6">
        <v>5.5</v>
      </c>
      <c r="F9" s="6">
        <v>83</v>
      </c>
      <c r="G9" s="6">
        <v>2</v>
      </c>
      <c r="H9" s="6">
        <v>14</v>
      </c>
      <c r="I9" s="7">
        <v>0.78</v>
      </c>
      <c r="J9" s="6">
        <v>31.1</v>
      </c>
      <c r="K9" s="6">
        <v>33.200000000000003</v>
      </c>
      <c r="L9" s="6">
        <v>38.4</v>
      </c>
      <c r="M9" s="17">
        <f>AVERAGE(J9,K9, L9)</f>
        <v>34.233333333333341</v>
      </c>
    </row>
    <row r="10" spans="1:13" x14ac:dyDescent="0.3">
      <c r="A10" s="5">
        <v>2</v>
      </c>
      <c r="B10" s="5">
        <v>1</v>
      </c>
      <c r="C10" s="6">
        <v>9</v>
      </c>
      <c r="D10" s="6">
        <v>6</v>
      </c>
      <c r="E10" s="6">
        <v>6</v>
      </c>
      <c r="F10" s="6">
        <v>87</v>
      </c>
      <c r="G10" s="6">
        <v>1</v>
      </c>
      <c r="H10" s="6">
        <v>0</v>
      </c>
      <c r="I10" s="6">
        <v>0.81</v>
      </c>
      <c r="J10" s="6">
        <v>41.5</v>
      </c>
      <c r="K10" s="6">
        <v>41.6</v>
      </c>
      <c r="L10" s="7">
        <v>35.700000000000003</v>
      </c>
      <c r="M10" s="17">
        <f t="shared" ref="M10:M56" si="0">AVERAGE(J10,K10, L10)</f>
        <v>39.6</v>
      </c>
    </row>
    <row r="11" spans="1:13" x14ac:dyDescent="0.3">
      <c r="A11" s="5">
        <v>3</v>
      </c>
      <c r="B11" s="5">
        <v>1</v>
      </c>
      <c r="C11" s="6">
        <v>7</v>
      </c>
      <c r="D11" s="6">
        <v>6</v>
      </c>
      <c r="E11" s="6">
        <v>6</v>
      </c>
      <c r="F11" s="6">
        <v>89</v>
      </c>
      <c r="G11" s="6">
        <v>1</v>
      </c>
      <c r="H11" s="6">
        <v>0</v>
      </c>
      <c r="I11" s="6">
        <v>0.82</v>
      </c>
      <c r="J11" s="6">
        <v>38.200000000000003</v>
      </c>
      <c r="K11" s="6">
        <v>34.5</v>
      </c>
      <c r="L11" s="6">
        <v>29.3</v>
      </c>
      <c r="M11" s="17">
        <f t="shared" si="0"/>
        <v>34</v>
      </c>
    </row>
    <row r="12" spans="1:13" x14ac:dyDescent="0.3">
      <c r="A12" s="5">
        <v>4</v>
      </c>
      <c r="B12" s="5">
        <v>1</v>
      </c>
      <c r="C12" s="6">
        <v>3</v>
      </c>
      <c r="D12" s="6">
        <v>6</v>
      </c>
      <c r="E12" s="6">
        <v>6.5</v>
      </c>
      <c r="F12" s="6">
        <v>90</v>
      </c>
      <c r="G12" s="6">
        <v>1</v>
      </c>
      <c r="H12" s="6">
        <v>0</v>
      </c>
      <c r="I12" s="6">
        <v>0.83</v>
      </c>
      <c r="J12" s="6">
        <v>30.5</v>
      </c>
      <c r="K12" s="6">
        <v>24.7</v>
      </c>
      <c r="L12" s="6">
        <v>29.1</v>
      </c>
      <c r="M12" s="17">
        <f t="shared" si="0"/>
        <v>28.100000000000005</v>
      </c>
    </row>
    <row r="13" spans="1:13" x14ac:dyDescent="0.3">
      <c r="A13" s="11" t="s">
        <v>17</v>
      </c>
      <c r="B13" s="11" t="s">
        <v>17</v>
      </c>
      <c r="C13" s="11" t="s">
        <v>17</v>
      </c>
      <c r="D13" s="11" t="s">
        <v>17</v>
      </c>
      <c r="E13" s="11" t="s">
        <v>17</v>
      </c>
      <c r="F13" s="11" t="s">
        <v>17</v>
      </c>
      <c r="G13" s="11" t="s">
        <v>17</v>
      </c>
      <c r="H13" s="11" t="s">
        <v>17</v>
      </c>
      <c r="I13" s="20" t="s">
        <v>28</v>
      </c>
      <c r="J13" s="11" t="s">
        <v>17</v>
      </c>
      <c r="K13" s="11" t="s">
        <v>17</v>
      </c>
      <c r="L13" s="11" t="s">
        <v>17</v>
      </c>
      <c r="M13" s="11" t="s">
        <v>17</v>
      </c>
    </row>
    <row r="14" spans="1:13" x14ac:dyDescent="0.3">
      <c r="A14" s="5">
        <v>5</v>
      </c>
      <c r="B14" s="5">
        <v>1</v>
      </c>
      <c r="C14" s="6">
        <v>2</v>
      </c>
      <c r="D14" s="6">
        <v>6</v>
      </c>
      <c r="E14" s="6">
        <v>6.5</v>
      </c>
      <c r="F14" s="6">
        <v>89</v>
      </c>
      <c r="G14" s="6">
        <v>1</v>
      </c>
      <c r="H14" s="6">
        <v>0</v>
      </c>
      <c r="I14" s="6">
        <v>0.85</v>
      </c>
      <c r="J14" s="6">
        <v>31.9</v>
      </c>
      <c r="K14" s="6">
        <v>29.2</v>
      </c>
      <c r="L14" s="6">
        <v>27.1</v>
      </c>
      <c r="M14" s="17">
        <f t="shared" si="0"/>
        <v>29.399999999999995</v>
      </c>
    </row>
    <row r="15" spans="1:13" x14ac:dyDescent="0.3">
      <c r="A15" s="5">
        <v>6</v>
      </c>
      <c r="B15" s="5">
        <v>1</v>
      </c>
      <c r="C15" s="6">
        <v>10</v>
      </c>
      <c r="D15" s="6">
        <v>5</v>
      </c>
      <c r="E15" s="6">
        <v>5.5</v>
      </c>
      <c r="F15" s="6">
        <v>86</v>
      </c>
      <c r="G15" s="6">
        <v>2</v>
      </c>
      <c r="H15" s="6">
        <v>7</v>
      </c>
      <c r="I15" s="6">
        <v>0.84</v>
      </c>
      <c r="J15" s="6">
        <v>33.200000000000003</v>
      </c>
      <c r="K15" s="6">
        <v>30.5</v>
      </c>
      <c r="L15" s="6">
        <v>32.5</v>
      </c>
      <c r="M15" s="17">
        <f t="shared" si="0"/>
        <v>32.06666666666667</v>
      </c>
    </row>
    <row r="16" spans="1:13" x14ac:dyDescent="0.3">
      <c r="A16" s="5">
        <v>7</v>
      </c>
      <c r="B16" s="5">
        <v>1</v>
      </c>
      <c r="C16" s="6">
        <v>4</v>
      </c>
      <c r="D16" s="6">
        <v>5.5</v>
      </c>
      <c r="E16" s="6">
        <v>5.5</v>
      </c>
      <c r="F16" s="6">
        <v>90</v>
      </c>
      <c r="G16" s="6">
        <v>1</v>
      </c>
      <c r="H16" s="6">
        <v>0</v>
      </c>
      <c r="I16" s="6">
        <v>0.79</v>
      </c>
      <c r="J16" s="6">
        <v>34.799999999999997</v>
      </c>
      <c r="K16" s="6">
        <v>35.6</v>
      </c>
      <c r="L16" s="6">
        <v>34.4</v>
      </c>
      <c r="M16" s="17">
        <f t="shared" si="0"/>
        <v>34.933333333333337</v>
      </c>
    </row>
    <row r="17" spans="1:13" x14ac:dyDescent="0.3">
      <c r="A17" s="5">
        <v>8</v>
      </c>
      <c r="B17" s="5">
        <v>1</v>
      </c>
      <c r="C17" s="6">
        <v>5</v>
      </c>
      <c r="D17" s="6">
        <v>6</v>
      </c>
      <c r="E17" s="6">
        <v>6</v>
      </c>
      <c r="F17" s="6">
        <v>91</v>
      </c>
      <c r="G17" s="6">
        <v>1</v>
      </c>
      <c r="H17" s="6">
        <v>0</v>
      </c>
      <c r="I17" s="6">
        <v>0.81</v>
      </c>
      <c r="J17" s="6">
        <v>31.1</v>
      </c>
      <c r="K17" s="6">
        <v>25.4</v>
      </c>
      <c r="L17" s="6">
        <v>30.6</v>
      </c>
      <c r="M17" s="17">
        <f t="shared" si="0"/>
        <v>29.033333333333331</v>
      </c>
    </row>
    <row r="18" spans="1:13" x14ac:dyDescent="0.3">
      <c r="A18" s="5">
        <v>9</v>
      </c>
      <c r="B18" s="5">
        <v>1</v>
      </c>
      <c r="C18" s="6">
        <v>11</v>
      </c>
      <c r="D18" s="6">
        <v>6.5</v>
      </c>
      <c r="E18" s="6">
        <v>6.5</v>
      </c>
      <c r="F18" s="6">
        <v>92</v>
      </c>
      <c r="G18" s="6">
        <v>1</v>
      </c>
      <c r="H18" s="6">
        <v>0</v>
      </c>
      <c r="I18" s="6">
        <v>0.85</v>
      </c>
      <c r="J18" s="6">
        <v>27.6</v>
      </c>
      <c r="K18" s="6">
        <v>27.4</v>
      </c>
      <c r="L18" s="6">
        <v>26.5</v>
      </c>
      <c r="M18" s="17">
        <f t="shared" si="0"/>
        <v>27.166666666666668</v>
      </c>
    </row>
    <row r="19" spans="1:13" x14ac:dyDescent="0.3">
      <c r="A19" s="5">
        <v>10</v>
      </c>
      <c r="B19" s="5">
        <v>1</v>
      </c>
      <c r="C19" s="6">
        <v>1</v>
      </c>
      <c r="D19" s="6">
        <v>6</v>
      </c>
      <c r="E19" s="6">
        <v>6</v>
      </c>
      <c r="F19" s="6">
        <v>90</v>
      </c>
      <c r="G19" s="6">
        <v>1</v>
      </c>
      <c r="H19" s="6">
        <v>0</v>
      </c>
      <c r="I19" s="6">
        <v>0.84</v>
      </c>
      <c r="J19" s="6">
        <v>27.3</v>
      </c>
      <c r="K19" s="6">
        <v>23.4</v>
      </c>
      <c r="L19" s="6">
        <v>25.7</v>
      </c>
      <c r="M19" s="17">
        <f t="shared" si="0"/>
        <v>25.466666666666669</v>
      </c>
    </row>
    <row r="20" spans="1:13" x14ac:dyDescent="0.3">
      <c r="A20" s="5">
        <v>11</v>
      </c>
      <c r="B20" s="5">
        <v>1</v>
      </c>
      <c r="C20" s="6">
        <v>6</v>
      </c>
      <c r="D20" s="6">
        <v>6</v>
      </c>
      <c r="E20" s="6">
        <v>6</v>
      </c>
      <c r="F20" s="6">
        <v>87</v>
      </c>
      <c r="G20" s="6">
        <v>1</v>
      </c>
      <c r="H20" s="6">
        <v>0</v>
      </c>
      <c r="I20" s="6">
        <v>0.84</v>
      </c>
      <c r="J20" s="6">
        <v>28.3</v>
      </c>
      <c r="K20" s="6">
        <v>26.8</v>
      </c>
      <c r="L20" s="6">
        <v>28.2</v>
      </c>
      <c r="M20" s="17">
        <f t="shared" si="0"/>
        <v>27.766666666666666</v>
      </c>
    </row>
    <row r="21" spans="1:13" x14ac:dyDescent="0.3">
      <c r="A21" s="8">
        <v>12</v>
      </c>
      <c r="B21" s="8">
        <v>2</v>
      </c>
      <c r="C21" s="9">
        <v>1</v>
      </c>
      <c r="D21" s="9">
        <v>5</v>
      </c>
      <c r="E21" s="9">
        <v>4.5</v>
      </c>
      <c r="F21" s="9">
        <v>85</v>
      </c>
      <c r="G21" s="9">
        <v>2</v>
      </c>
      <c r="H21" s="9">
        <v>5</v>
      </c>
      <c r="I21" s="10">
        <v>0.79</v>
      </c>
      <c r="J21" s="9">
        <v>28.4</v>
      </c>
      <c r="K21" s="9">
        <v>31.5</v>
      </c>
      <c r="L21" s="10" t="s">
        <v>29</v>
      </c>
      <c r="M21" s="19">
        <f t="shared" si="0"/>
        <v>29.95</v>
      </c>
    </row>
    <row r="22" spans="1:13" x14ac:dyDescent="0.3">
      <c r="A22" s="8">
        <v>13</v>
      </c>
      <c r="B22" s="8">
        <v>2</v>
      </c>
      <c r="C22" s="9">
        <v>6</v>
      </c>
      <c r="D22" s="9">
        <v>6</v>
      </c>
      <c r="E22" s="9">
        <v>6</v>
      </c>
      <c r="F22" s="9">
        <v>88</v>
      </c>
      <c r="G22" s="9">
        <v>1</v>
      </c>
      <c r="H22" s="9">
        <v>0</v>
      </c>
      <c r="I22" s="9">
        <v>0.81</v>
      </c>
      <c r="J22" s="9">
        <v>29.5</v>
      </c>
      <c r="K22" s="9">
        <v>26.8</v>
      </c>
      <c r="L22" s="9">
        <v>29.5</v>
      </c>
      <c r="M22" s="19">
        <f t="shared" si="0"/>
        <v>28.599999999999998</v>
      </c>
    </row>
    <row r="23" spans="1:13" x14ac:dyDescent="0.3">
      <c r="A23" s="11" t="s">
        <v>17</v>
      </c>
      <c r="B23" s="11" t="s">
        <v>17</v>
      </c>
      <c r="C23" s="11" t="s">
        <v>17</v>
      </c>
      <c r="D23" s="11" t="s">
        <v>17</v>
      </c>
      <c r="E23" s="11" t="s">
        <v>17</v>
      </c>
      <c r="F23" s="11" t="s">
        <v>17</v>
      </c>
      <c r="G23" s="11" t="s">
        <v>17</v>
      </c>
      <c r="H23" s="11" t="s">
        <v>17</v>
      </c>
      <c r="I23" s="11" t="s">
        <v>17</v>
      </c>
      <c r="J23" s="11" t="s">
        <v>17</v>
      </c>
      <c r="K23" s="11" t="s">
        <v>17</v>
      </c>
      <c r="L23" s="11" t="s">
        <v>17</v>
      </c>
      <c r="M23" s="11" t="s">
        <v>17</v>
      </c>
    </row>
    <row r="24" spans="1:13" x14ac:dyDescent="0.3">
      <c r="A24" s="8">
        <v>14</v>
      </c>
      <c r="B24" s="8">
        <v>2</v>
      </c>
      <c r="C24" s="9">
        <v>10</v>
      </c>
      <c r="D24" s="9">
        <v>6</v>
      </c>
      <c r="E24" s="9">
        <v>6</v>
      </c>
      <c r="F24" s="9">
        <v>89</v>
      </c>
      <c r="G24" s="9">
        <v>1</v>
      </c>
      <c r="H24" s="9">
        <v>0</v>
      </c>
      <c r="I24" s="9">
        <v>0.83</v>
      </c>
      <c r="J24" s="9">
        <v>31.5</v>
      </c>
      <c r="K24" s="9">
        <v>29.4</v>
      </c>
      <c r="L24" s="9">
        <v>27.4</v>
      </c>
      <c r="M24" s="19">
        <f t="shared" si="0"/>
        <v>29.433333333333334</v>
      </c>
    </row>
    <row r="25" spans="1:13" x14ac:dyDescent="0.3">
      <c r="A25" s="8">
        <v>15</v>
      </c>
      <c r="B25" s="8">
        <v>2</v>
      </c>
      <c r="C25" s="9">
        <v>3</v>
      </c>
      <c r="D25" s="9">
        <v>6</v>
      </c>
      <c r="E25" s="9">
        <v>6</v>
      </c>
      <c r="F25" s="9">
        <v>90</v>
      </c>
      <c r="G25" s="9">
        <v>1</v>
      </c>
      <c r="H25" s="9">
        <v>0</v>
      </c>
      <c r="I25" s="9">
        <v>0.8</v>
      </c>
      <c r="J25" s="9">
        <v>26</v>
      </c>
      <c r="K25" s="9">
        <v>21.4</v>
      </c>
      <c r="L25" s="9">
        <v>29.1</v>
      </c>
      <c r="M25" s="19">
        <f t="shared" si="0"/>
        <v>25.5</v>
      </c>
    </row>
    <row r="26" spans="1:13" x14ac:dyDescent="0.3">
      <c r="A26" s="8">
        <v>16</v>
      </c>
      <c r="B26" s="8">
        <v>2</v>
      </c>
      <c r="C26" s="9">
        <v>4</v>
      </c>
      <c r="D26" s="9">
        <v>6</v>
      </c>
      <c r="E26" s="9">
        <v>5.5</v>
      </c>
      <c r="F26" s="9">
        <v>89</v>
      </c>
      <c r="G26" s="9">
        <v>1</v>
      </c>
      <c r="H26" s="9">
        <v>0</v>
      </c>
      <c r="I26" s="9">
        <v>0.81</v>
      </c>
      <c r="J26" s="9">
        <v>25.6</v>
      </c>
      <c r="K26" s="9">
        <v>25.9</v>
      </c>
      <c r="L26" s="9">
        <v>31.9</v>
      </c>
      <c r="M26" s="19">
        <f t="shared" si="0"/>
        <v>27.8</v>
      </c>
    </row>
    <row r="27" spans="1:13" x14ac:dyDescent="0.3">
      <c r="A27" s="8">
        <v>17</v>
      </c>
      <c r="B27" s="8">
        <v>2</v>
      </c>
      <c r="C27" s="9">
        <v>2</v>
      </c>
      <c r="D27" s="9">
        <v>6.5</v>
      </c>
      <c r="E27" s="9">
        <v>6.5</v>
      </c>
      <c r="F27" s="9">
        <v>90</v>
      </c>
      <c r="G27" s="9">
        <v>1</v>
      </c>
      <c r="H27" s="9">
        <v>0</v>
      </c>
      <c r="I27" s="9">
        <v>0.82</v>
      </c>
      <c r="J27" s="9">
        <v>27.5</v>
      </c>
      <c r="K27" s="9">
        <v>25.3</v>
      </c>
      <c r="L27" s="9">
        <v>29.4</v>
      </c>
      <c r="M27" s="19">
        <f t="shared" si="0"/>
        <v>27.399999999999995</v>
      </c>
    </row>
    <row r="28" spans="1:13" x14ac:dyDescent="0.3">
      <c r="A28" s="8">
        <v>18</v>
      </c>
      <c r="B28" s="8">
        <v>2</v>
      </c>
      <c r="C28" s="9">
        <v>11</v>
      </c>
      <c r="D28" s="9">
        <v>6</v>
      </c>
      <c r="E28" s="9">
        <v>6</v>
      </c>
      <c r="F28" s="9">
        <v>87</v>
      </c>
      <c r="G28" s="9">
        <v>1</v>
      </c>
      <c r="H28" s="9">
        <v>0</v>
      </c>
      <c r="I28" s="9">
        <v>0.8</v>
      </c>
      <c r="J28" s="9">
        <v>28.4</v>
      </c>
      <c r="K28" s="9">
        <v>29.2</v>
      </c>
      <c r="L28" s="9">
        <v>27.5</v>
      </c>
      <c r="M28" s="19">
        <f t="shared" si="0"/>
        <v>28.366666666666664</v>
      </c>
    </row>
    <row r="29" spans="1:13" x14ac:dyDescent="0.3">
      <c r="A29" s="8">
        <v>19</v>
      </c>
      <c r="B29" s="8">
        <v>2</v>
      </c>
      <c r="C29" s="9">
        <v>7</v>
      </c>
      <c r="D29" s="9">
        <v>6</v>
      </c>
      <c r="E29" s="9">
        <v>6</v>
      </c>
      <c r="F29" s="9">
        <v>91</v>
      </c>
      <c r="G29" s="9">
        <v>1</v>
      </c>
      <c r="H29" s="9">
        <v>0</v>
      </c>
      <c r="I29" s="9">
        <v>0.81</v>
      </c>
      <c r="J29" s="9">
        <v>29.3</v>
      </c>
      <c r="K29" s="9">
        <v>26.4</v>
      </c>
      <c r="L29" s="9">
        <v>29.4</v>
      </c>
      <c r="M29" s="19">
        <f t="shared" si="0"/>
        <v>28.366666666666664</v>
      </c>
    </row>
    <row r="30" spans="1:13" x14ac:dyDescent="0.3">
      <c r="A30" s="8">
        <v>20</v>
      </c>
      <c r="B30" s="8">
        <v>2</v>
      </c>
      <c r="C30" s="9">
        <v>9</v>
      </c>
      <c r="D30" s="10">
        <v>5.5</v>
      </c>
      <c r="E30" s="9">
        <v>5.5</v>
      </c>
      <c r="F30" s="9">
        <v>87</v>
      </c>
      <c r="G30" s="9">
        <v>2</v>
      </c>
      <c r="H30" s="9">
        <v>6</v>
      </c>
      <c r="I30" s="9">
        <v>0.81</v>
      </c>
      <c r="J30" s="9">
        <v>23.5</v>
      </c>
      <c r="K30" s="9">
        <v>32.6</v>
      </c>
      <c r="L30" s="9">
        <v>31</v>
      </c>
      <c r="M30" s="19">
        <f t="shared" si="0"/>
        <v>29.033333333333331</v>
      </c>
    </row>
    <row r="31" spans="1:13" x14ac:dyDescent="0.3">
      <c r="A31" s="8">
        <v>21</v>
      </c>
      <c r="B31" s="8">
        <v>2</v>
      </c>
      <c r="C31" s="9">
        <v>5</v>
      </c>
      <c r="D31" s="9">
        <v>6</v>
      </c>
      <c r="E31" s="9">
        <v>6</v>
      </c>
      <c r="F31" s="9">
        <v>88</v>
      </c>
      <c r="G31" s="9">
        <v>1</v>
      </c>
      <c r="H31" s="9">
        <v>0</v>
      </c>
      <c r="I31" s="9">
        <v>0.84</v>
      </c>
      <c r="J31" s="9">
        <v>28.2</v>
      </c>
      <c r="K31" s="9">
        <v>23.6</v>
      </c>
      <c r="L31" s="9">
        <v>22.8</v>
      </c>
      <c r="M31" s="19">
        <f t="shared" si="0"/>
        <v>24.866666666666664</v>
      </c>
    </row>
    <row r="32" spans="1:13" x14ac:dyDescent="0.3">
      <c r="A32" s="8">
        <v>22</v>
      </c>
      <c r="B32" s="8">
        <v>2</v>
      </c>
      <c r="C32" s="9">
        <v>8</v>
      </c>
      <c r="D32" s="9">
        <v>6</v>
      </c>
      <c r="E32" s="9">
        <v>6</v>
      </c>
      <c r="F32" s="9">
        <v>86</v>
      </c>
      <c r="G32" s="9">
        <v>1</v>
      </c>
      <c r="H32" s="9">
        <v>0</v>
      </c>
      <c r="I32" s="9">
        <v>0.84</v>
      </c>
      <c r="J32" s="9">
        <v>25</v>
      </c>
      <c r="K32" s="9">
        <v>24</v>
      </c>
      <c r="L32" s="9">
        <v>27.9</v>
      </c>
      <c r="M32" s="19">
        <f t="shared" si="0"/>
        <v>25.633333333333336</v>
      </c>
    </row>
    <row r="33" spans="1:13" x14ac:dyDescent="0.3">
      <c r="A33" s="5">
        <v>23</v>
      </c>
      <c r="B33" s="6">
        <v>3</v>
      </c>
      <c r="C33" s="6">
        <v>4</v>
      </c>
      <c r="D33" s="6">
        <v>4</v>
      </c>
      <c r="E33" s="6">
        <v>4</v>
      </c>
      <c r="F33" s="6">
        <v>84</v>
      </c>
      <c r="G33" s="6">
        <v>1</v>
      </c>
      <c r="H33" s="6">
        <v>0</v>
      </c>
      <c r="I33" s="6">
        <v>0.8</v>
      </c>
      <c r="J33" s="6">
        <v>30.4</v>
      </c>
      <c r="K33" s="6">
        <v>31.5</v>
      </c>
      <c r="L33" s="6">
        <v>27.9</v>
      </c>
      <c r="M33" s="17">
        <f t="shared" si="0"/>
        <v>29.933333333333334</v>
      </c>
    </row>
    <row r="34" spans="1:13" x14ac:dyDescent="0.3">
      <c r="A34" s="5">
        <v>24</v>
      </c>
      <c r="B34" s="6">
        <v>3</v>
      </c>
      <c r="C34" s="6">
        <v>1</v>
      </c>
      <c r="D34" s="6">
        <v>4</v>
      </c>
      <c r="E34" s="6">
        <v>5</v>
      </c>
      <c r="F34" s="6">
        <v>84</v>
      </c>
      <c r="G34" s="6">
        <v>1</v>
      </c>
      <c r="H34" s="6">
        <v>0</v>
      </c>
      <c r="I34" s="7">
        <v>0.82</v>
      </c>
      <c r="J34" s="7" t="s">
        <v>30</v>
      </c>
      <c r="K34" s="6">
        <v>29.2</v>
      </c>
      <c r="L34" s="6">
        <v>28.9</v>
      </c>
      <c r="M34" s="17">
        <f t="shared" si="0"/>
        <v>29.049999999999997</v>
      </c>
    </row>
    <row r="35" spans="1:13" x14ac:dyDescent="0.3">
      <c r="A35" s="5">
        <v>25</v>
      </c>
      <c r="B35" s="6">
        <v>3</v>
      </c>
      <c r="C35" s="6">
        <v>9</v>
      </c>
      <c r="D35" s="6">
        <v>5</v>
      </c>
      <c r="E35" s="6">
        <v>5</v>
      </c>
      <c r="F35" s="6">
        <v>92</v>
      </c>
      <c r="G35" s="6">
        <v>1</v>
      </c>
      <c r="H35" s="6">
        <v>0</v>
      </c>
      <c r="I35" s="6">
        <v>0.8</v>
      </c>
      <c r="J35" s="6">
        <v>28.1</v>
      </c>
      <c r="K35" s="6">
        <v>29.5</v>
      </c>
      <c r="L35" s="6">
        <v>28.4</v>
      </c>
      <c r="M35" s="17">
        <f t="shared" si="0"/>
        <v>28.666666666666668</v>
      </c>
    </row>
    <row r="36" spans="1:13" x14ac:dyDescent="0.3">
      <c r="A36" s="5">
        <v>26</v>
      </c>
      <c r="B36" s="6">
        <v>3</v>
      </c>
      <c r="C36" s="6">
        <v>2</v>
      </c>
      <c r="D36" s="6">
        <v>6</v>
      </c>
      <c r="E36" s="6">
        <v>6</v>
      </c>
      <c r="F36" s="6">
        <v>87</v>
      </c>
      <c r="G36" s="6">
        <v>1</v>
      </c>
      <c r="H36" s="6">
        <v>0</v>
      </c>
      <c r="I36" s="6">
        <v>0.82</v>
      </c>
      <c r="J36" s="6">
        <v>29.2</v>
      </c>
      <c r="K36" s="6">
        <v>30.5</v>
      </c>
      <c r="L36" s="6">
        <v>29.4</v>
      </c>
      <c r="M36" s="17">
        <f t="shared" si="0"/>
        <v>29.7</v>
      </c>
    </row>
    <row r="37" spans="1:13" x14ac:dyDescent="0.3">
      <c r="A37" s="5">
        <v>27</v>
      </c>
      <c r="B37" s="6">
        <v>3</v>
      </c>
      <c r="C37" s="6">
        <v>6</v>
      </c>
      <c r="D37" s="6">
        <v>5.5</v>
      </c>
      <c r="E37" s="6">
        <v>5.5</v>
      </c>
      <c r="F37" s="6">
        <v>85</v>
      </c>
      <c r="G37" s="6">
        <v>2</v>
      </c>
      <c r="H37" s="6">
        <v>6</v>
      </c>
      <c r="I37" s="6">
        <v>0.82</v>
      </c>
      <c r="J37" s="6">
        <v>27.4</v>
      </c>
      <c r="K37" s="6">
        <v>27.9</v>
      </c>
      <c r="L37" s="6">
        <v>33.6</v>
      </c>
      <c r="M37" s="17">
        <f t="shared" si="0"/>
        <v>29.633333333333336</v>
      </c>
    </row>
    <row r="38" spans="1:13" x14ac:dyDescent="0.3">
      <c r="A38" s="5">
        <v>28</v>
      </c>
      <c r="B38" s="6">
        <v>3</v>
      </c>
      <c r="C38" s="6">
        <v>11</v>
      </c>
      <c r="D38" s="6">
        <v>6</v>
      </c>
      <c r="E38" s="6">
        <v>5.5</v>
      </c>
      <c r="F38" s="6">
        <v>87</v>
      </c>
      <c r="G38" s="6">
        <v>1</v>
      </c>
      <c r="H38" s="6">
        <v>0</v>
      </c>
      <c r="I38" s="6">
        <v>0.82</v>
      </c>
      <c r="J38" s="6">
        <v>27.5</v>
      </c>
      <c r="K38" s="6">
        <v>23.1</v>
      </c>
      <c r="L38" s="6">
        <v>22</v>
      </c>
      <c r="M38" s="17">
        <f t="shared" si="0"/>
        <v>24.2</v>
      </c>
    </row>
    <row r="39" spans="1:13" x14ac:dyDescent="0.3">
      <c r="A39" s="5">
        <v>29</v>
      </c>
      <c r="B39" s="6">
        <v>3</v>
      </c>
      <c r="C39" s="6">
        <v>5</v>
      </c>
      <c r="D39" s="6">
        <v>6</v>
      </c>
      <c r="E39" s="6">
        <v>6</v>
      </c>
      <c r="F39" s="6">
        <v>88</v>
      </c>
      <c r="G39" s="6">
        <v>1</v>
      </c>
      <c r="H39" s="6">
        <v>0</v>
      </c>
      <c r="I39" s="6">
        <v>0.82</v>
      </c>
      <c r="J39" s="6">
        <v>31.4</v>
      </c>
      <c r="K39" s="6">
        <v>32.4</v>
      </c>
      <c r="L39" s="6">
        <v>30.4</v>
      </c>
      <c r="M39" s="17">
        <f t="shared" si="0"/>
        <v>31.399999999999995</v>
      </c>
    </row>
    <row r="40" spans="1:13" x14ac:dyDescent="0.3">
      <c r="A40" s="11" t="s">
        <v>17</v>
      </c>
      <c r="B40" s="11" t="s">
        <v>17</v>
      </c>
      <c r="C40" s="11" t="s">
        <v>17</v>
      </c>
      <c r="D40" s="11" t="s">
        <v>17</v>
      </c>
      <c r="E40" s="11" t="s">
        <v>17</v>
      </c>
      <c r="F40" s="11" t="s">
        <v>17</v>
      </c>
      <c r="G40" s="11" t="s">
        <v>17</v>
      </c>
      <c r="H40" s="11" t="s">
        <v>17</v>
      </c>
      <c r="I40" s="11" t="s">
        <v>17</v>
      </c>
      <c r="J40" s="11" t="s">
        <v>17</v>
      </c>
      <c r="K40" s="11" t="s">
        <v>17</v>
      </c>
      <c r="L40" s="11" t="s">
        <v>17</v>
      </c>
      <c r="M40" s="11" t="s">
        <v>17</v>
      </c>
    </row>
    <row r="41" spans="1:13" x14ac:dyDescent="0.3">
      <c r="A41" s="5">
        <v>30</v>
      </c>
      <c r="B41" s="6">
        <v>3</v>
      </c>
      <c r="C41" s="6">
        <v>8</v>
      </c>
      <c r="D41" s="6">
        <v>6</v>
      </c>
      <c r="E41" s="6">
        <v>6</v>
      </c>
      <c r="F41" s="6">
        <v>86</v>
      </c>
      <c r="G41" s="6">
        <v>1</v>
      </c>
      <c r="H41" s="6">
        <v>0</v>
      </c>
      <c r="I41" s="6">
        <v>0.8</v>
      </c>
      <c r="J41" s="6">
        <v>31.2</v>
      </c>
      <c r="K41" s="6">
        <v>31</v>
      </c>
      <c r="L41" s="6">
        <v>26.9</v>
      </c>
      <c r="M41" s="17">
        <f t="shared" si="0"/>
        <v>29.7</v>
      </c>
    </row>
    <row r="42" spans="1:13" x14ac:dyDescent="0.3">
      <c r="A42" s="5">
        <v>31</v>
      </c>
      <c r="B42" s="6">
        <v>3</v>
      </c>
      <c r="C42" s="6">
        <v>3</v>
      </c>
      <c r="D42" s="6">
        <v>6</v>
      </c>
      <c r="E42" s="6">
        <v>5.5</v>
      </c>
      <c r="F42" s="6">
        <v>87</v>
      </c>
      <c r="G42" s="6">
        <v>1</v>
      </c>
      <c r="H42" s="6">
        <v>0</v>
      </c>
      <c r="I42" s="6">
        <v>0.79</v>
      </c>
      <c r="J42" s="6">
        <v>30.6</v>
      </c>
      <c r="K42" s="6">
        <v>29.5</v>
      </c>
      <c r="L42" s="6">
        <v>26.6</v>
      </c>
      <c r="M42" s="17">
        <f t="shared" si="0"/>
        <v>28.900000000000002</v>
      </c>
    </row>
    <row r="43" spans="1:13" x14ac:dyDescent="0.3">
      <c r="A43" s="5">
        <v>32</v>
      </c>
      <c r="B43" s="6">
        <v>3</v>
      </c>
      <c r="C43" s="6">
        <v>7</v>
      </c>
      <c r="D43" s="6">
        <v>6</v>
      </c>
      <c r="E43" s="6">
        <v>6</v>
      </c>
      <c r="F43" s="6">
        <v>88</v>
      </c>
      <c r="G43" s="6">
        <v>1</v>
      </c>
      <c r="H43" s="6">
        <v>0</v>
      </c>
      <c r="I43" s="6">
        <v>0.81</v>
      </c>
      <c r="J43" s="6">
        <v>27.8</v>
      </c>
      <c r="K43" s="6">
        <v>26.6</v>
      </c>
      <c r="L43" s="6">
        <v>25.6</v>
      </c>
      <c r="M43" s="17">
        <f t="shared" si="0"/>
        <v>26.666666666666668</v>
      </c>
    </row>
    <row r="44" spans="1:13" x14ac:dyDescent="0.3">
      <c r="A44" s="5">
        <v>33</v>
      </c>
      <c r="B44" s="6">
        <v>3</v>
      </c>
      <c r="C44" s="6">
        <v>10</v>
      </c>
      <c r="D44" s="6">
        <v>6</v>
      </c>
      <c r="E44" s="6">
        <v>6</v>
      </c>
      <c r="F44" s="6">
        <v>86</v>
      </c>
      <c r="G44" s="6">
        <v>1</v>
      </c>
      <c r="H44" s="6">
        <v>0</v>
      </c>
      <c r="I44" s="6">
        <v>0.8</v>
      </c>
      <c r="J44" s="6">
        <v>28.6</v>
      </c>
      <c r="K44" s="6">
        <v>27.2</v>
      </c>
      <c r="L44" s="6">
        <v>25.8</v>
      </c>
      <c r="M44" s="17">
        <f t="shared" si="0"/>
        <v>27.2</v>
      </c>
    </row>
    <row r="45" spans="1:13" x14ac:dyDescent="0.3">
      <c r="A45" s="8">
        <v>34</v>
      </c>
      <c r="B45" s="9">
        <v>4</v>
      </c>
      <c r="C45" s="9">
        <v>7</v>
      </c>
      <c r="D45" s="10">
        <v>6</v>
      </c>
      <c r="E45" s="9">
        <v>6</v>
      </c>
      <c r="F45" s="9">
        <v>89</v>
      </c>
      <c r="G45" s="9">
        <v>1</v>
      </c>
      <c r="H45" s="9">
        <v>0</v>
      </c>
      <c r="I45" s="9">
        <v>0.81</v>
      </c>
      <c r="J45" s="9">
        <v>32.4</v>
      </c>
      <c r="K45" s="9">
        <v>33.200000000000003</v>
      </c>
      <c r="L45" s="9">
        <v>34.5</v>
      </c>
      <c r="M45" s="19">
        <f t="shared" si="0"/>
        <v>33.366666666666667</v>
      </c>
    </row>
    <row r="46" spans="1:13" x14ac:dyDescent="0.3">
      <c r="A46" s="8">
        <v>35</v>
      </c>
      <c r="B46" s="9">
        <v>4</v>
      </c>
      <c r="C46" s="9">
        <v>8</v>
      </c>
      <c r="D46" s="9">
        <v>5</v>
      </c>
      <c r="E46" s="9">
        <v>5</v>
      </c>
      <c r="F46" s="9">
        <v>85</v>
      </c>
      <c r="G46" s="9">
        <v>2</v>
      </c>
      <c r="H46" s="9">
        <v>4</v>
      </c>
      <c r="I46" s="9">
        <v>0.78</v>
      </c>
      <c r="J46" s="9">
        <v>31.1</v>
      </c>
      <c r="K46" s="9">
        <v>28.4</v>
      </c>
      <c r="L46" s="9">
        <v>30.2</v>
      </c>
      <c r="M46" s="19">
        <f t="shared" si="0"/>
        <v>29.900000000000002</v>
      </c>
    </row>
    <row r="47" spans="1:13" x14ac:dyDescent="0.3">
      <c r="A47" s="8">
        <v>36</v>
      </c>
      <c r="B47" s="9">
        <v>4</v>
      </c>
      <c r="C47" s="9">
        <v>11</v>
      </c>
      <c r="D47" s="9">
        <v>5.5</v>
      </c>
      <c r="E47" s="9">
        <v>5.5</v>
      </c>
      <c r="F47" s="9">
        <v>86</v>
      </c>
      <c r="G47" s="9">
        <v>1</v>
      </c>
      <c r="H47" s="9">
        <v>0</v>
      </c>
      <c r="I47" s="9">
        <v>0.77</v>
      </c>
      <c r="J47" s="9">
        <v>27.2</v>
      </c>
      <c r="K47" s="9">
        <v>32.1</v>
      </c>
      <c r="L47" s="9">
        <v>35.1</v>
      </c>
      <c r="M47" s="19">
        <f t="shared" si="0"/>
        <v>31.466666666666669</v>
      </c>
    </row>
    <row r="48" spans="1:13" x14ac:dyDescent="0.3">
      <c r="A48" s="8">
        <v>37</v>
      </c>
      <c r="B48" s="9">
        <v>4</v>
      </c>
      <c r="C48" s="9">
        <v>5</v>
      </c>
      <c r="D48" s="9">
        <v>6</v>
      </c>
      <c r="E48" s="9">
        <v>6</v>
      </c>
      <c r="F48" s="9">
        <v>87</v>
      </c>
      <c r="G48" s="9">
        <v>1</v>
      </c>
      <c r="H48" s="9">
        <v>0</v>
      </c>
      <c r="I48" s="9">
        <v>0.82</v>
      </c>
      <c r="J48" s="9">
        <v>36.5</v>
      </c>
      <c r="K48" s="9">
        <v>30.4</v>
      </c>
      <c r="L48" s="9">
        <v>32</v>
      </c>
      <c r="M48" s="19">
        <f t="shared" si="0"/>
        <v>32.966666666666669</v>
      </c>
    </row>
    <row r="49" spans="1:13" x14ac:dyDescent="0.3">
      <c r="A49" s="8">
        <v>38</v>
      </c>
      <c r="B49" s="9">
        <v>4</v>
      </c>
      <c r="C49" s="9">
        <v>9</v>
      </c>
      <c r="D49" s="9">
        <v>6</v>
      </c>
      <c r="E49" s="9">
        <v>6</v>
      </c>
      <c r="F49" s="9">
        <v>86</v>
      </c>
      <c r="G49" s="9">
        <v>1</v>
      </c>
      <c r="H49" s="9">
        <v>0</v>
      </c>
      <c r="I49" s="9">
        <v>0.81</v>
      </c>
      <c r="J49" s="9">
        <v>26.3</v>
      </c>
      <c r="K49" s="9">
        <v>25.6</v>
      </c>
      <c r="L49" s="9">
        <v>29</v>
      </c>
      <c r="M49" s="19">
        <f t="shared" si="0"/>
        <v>26.966666666666669</v>
      </c>
    </row>
    <row r="50" spans="1:13" x14ac:dyDescent="0.3">
      <c r="A50" s="11" t="s">
        <v>17</v>
      </c>
      <c r="B50" s="11" t="s">
        <v>17</v>
      </c>
      <c r="C50" s="11" t="s">
        <v>17</v>
      </c>
      <c r="D50" s="11" t="s">
        <v>17</v>
      </c>
      <c r="E50" s="11" t="s">
        <v>17</v>
      </c>
      <c r="F50" s="11" t="s">
        <v>17</v>
      </c>
      <c r="G50" s="11" t="s">
        <v>17</v>
      </c>
      <c r="H50" s="11" t="s">
        <v>17</v>
      </c>
      <c r="I50" s="11" t="s">
        <v>17</v>
      </c>
      <c r="J50" s="11" t="s">
        <v>17</v>
      </c>
      <c r="K50" s="11" t="s">
        <v>17</v>
      </c>
      <c r="L50" s="11" t="s">
        <v>17</v>
      </c>
      <c r="M50" s="11" t="s">
        <v>17</v>
      </c>
    </row>
    <row r="51" spans="1:13" x14ac:dyDescent="0.3">
      <c r="A51" s="8">
        <v>39</v>
      </c>
      <c r="B51" s="9">
        <v>4</v>
      </c>
      <c r="C51" s="9">
        <v>6</v>
      </c>
      <c r="D51" s="9">
        <v>5.5</v>
      </c>
      <c r="E51" s="9">
        <v>5.5</v>
      </c>
      <c r="F51" s="9">
        <v>86</v>
      </c>
      <c r="G51" s="9">
        <v>1</v>
      </c>
      <c r="H51" s="9">
        <v>0</v>
      </c>
      <c r="I51" s="9">
        <v>0.82</v>
      </c>
      <c r="J51" s="9">
        <v>32.200000000000003</v>
      </c>
      <c r="K51" s="9">
        <v>32</v>
      </c>
      <c r="L51" s="9">
        <v>30.9</v>
      </c>
      <c r="M51" s="19">
        <f t="shared" si="0"/>
        <v>31.7</v>
      </c>
    </row>
    <row r="52" spans="1:13" x14ac:dyDescent="0.3">
      <c r="A52" s="8">
        <v>40</v>
      </c>
      <c r="B52" s="9">
        <v>4</v>
      </c>
      <c r="C52" s="9">
        <v>2</v>
      </c>
      <c r="D52" s="9">
        <v>5.5</v>
      </c>
      <c r="E52" s="10">
        <v>5</v>
      </c>
      <c r="F52" s="9">
        <v>85</v>
      </c>
      <c r="G52" s="9">
        <v>1</v>
      </c>
      <c r="H52" s="9">
        <v>0</v>
      </c>
      <c r="I52" s="9">
        <v>0.81</v>
      </c>
      <c r="J52" s="10">
        <v>25.6</v>
      </c>
      <c r="K52" s="10">
        <v>26.3</v>
      </c>
      <c r="L52" s="9">
        <v>34.4</v>
      </c>
      <c r="M52" s="19">
        <f t="shared" si="0"/>
        <v>28.766666666666669</v>
      </c>
    </row>
    <row r="53" spans="1:13" x14ac:dyDescent="0.3">
      <c r="A53" s="8">
        <v>41</v>
      </c>
      <c r="B53" s="9">
        <v>4</v>
      </c>
      <c r="C53" s="9">
        <v>10</v>
      </c>
      <c r="D53" s="9">
        <v>6</v>
      </c>
      <c r="E53" s="9">
        <v>6.5</v>
      </c>
      <c r="F53" s="9">
        <v>85</v>
      </c>
      <c r="G53" s="9">
        <v>1</v>
      </c>
      <c r="H53" s="9">
        <v>0</v>
      </c>
      <c r="I53" s="9">
        <v>0.81</v>
      </c>
      <c r="J53" s="9">
        <v>30.9</v>
      </c>
      <c r="K53" s="9">
        <v>31.7</v>
      </c>
      <c r="L53" s="9">
        <v>33.799999999999997</v>
      </c>
      <c r="M53" s="19">
        <f t="shared" si="0"/>
        <v>32.133333333333333</v>
      </c>
    </row>
    <row r="54" spans="1:13" x14ac:dyDescent="0.3">
      <c r="A54" s="8">
        <v>42</v>
      </c>
      <c r="B54" s="9">
        <v>4</v>
      </c>
      <c r="C54" s="9">
        <v>1</v>
      </c>
      <c r="D54" s="9">
        <v>6</v>
      </c>
      <c r="E54" s="9">
        <v>6</v>
      </c>
      <c r="F54" s="9">
        <v>87</v>
      </c>
      <c r="G54" s="9">
        <v>1</v>
      </c>
      <c r="H54" s="9">
        <v>0</v>
      </c>
      <c r="I54" s="9">
        <v>0.82</v>
      </c>
      <c r="J54" s="9">
        <v>35.5</v>
      </c>
      <c r="K54" s="9">
        <v>35.6</v>
      </c>
      <c r="L54" s="9">
        <v>32.799999999999997</v>
      </c>
      <c r="M54" s="19">
        <f t="shared" si="0"/>
        <v>34.633333333333333</v>
      </c>
    </row>
    <row r="55" spans="1:13" x14ac:dyDescent="0.3">
      <c r="A55" s="8">
        <v>43</v>
      </c>
      <c r="B55" s="9">
        <v>4</v>
      </c>
      <c r="C55" s="9">
        <v>4</v>
      </c>
      <c r="D55" s="9">
        <v>6</v>
      </c>
      <c r="E55" s="9">
        <v>6</v>
      </c>
      <c r="F55" s="9">
        <v>88</v>
      </c>
      <c r="G55" s="9">
        <v>1</v>
      </c>
      <c r="H55" s="9">
        <v>0</v>
      </c>
      <c r="I55" s="9">
        <v>0.83</v>
      </c>
      <c r="J55" s="9">
        <v>31.2</v>
      </c>
      <c r="K55" s="9">
        <v>29.6</v>
      </c>
      <c r="L55" s="9">
        <v>26.5</v>
      </c>
      <c r="M55" s="19">
        <f t="shared" si="0"/>
        <v>29.099999999999998</v>
      </c>
    </row>
    <row r="56" spans="1:13" x14ac:dyDescent="0.3">
      <c r="A56" s="8">
        <v>44</v>
      </c>
      <c r="B56" s="9">
        <v>4</v>
      </c>
      <c r="C56" s="9">
        <v>3</v>
      </c>
      <c r="D56" s="9">
        <v>6</v>
      </c>
      <c r="E56" s="9">
        <v>6</v>
      </c>
      <c r="F56" s="9">
        <v>90</v>
      </c>
      <c r="G56" s="9">
        <v>1</v>
      </c>
      <c r="H56" s="9">
        <v>0</v>
      </c>
      <c r="I56" s="9">
        <v>0.84</v>
      </c>
      <c r="J56" s="9">
        <v>30.2</v>
      </c>
      <c r="K56" s="9">
        <v>30.4</v>
      </c>
      <c r="L56" s="9">
        <v>28.1</v>
      </c>
      <c r="M56" s="19">
        <f t="shared" si="0"/>
        <v>29.566666666666663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6"/>
  <sheetViews>
    <sheetView workbookViewId="0">
      <selection activeCell="Q11" sqref="Q11"/>
    </sheetView>
  </sheetViews>
  <sheetFormatPr defaultRowHeight="14.4" x14ac:dyDescent="0.3"/>
  <sheetData>
    <row r="1" spans="1:13" x14ac:dyDescent="0.3">
      <c r="A1" t="s">
        <v>7</v>
      </c>
      <c r="C1" t="s">
        <v>8</v>
      </c>
    </row>
    <row r="2" spans="1:13" x14ac:dyDescent="0.3">
      <c r="A2" s="1" t="s">
        <v>13</v>
      </c>
      <c r="B2" t="s">
        <v>33</v>
      </c>
    </row>
    <row r="3" spans="1:13" x14ac:dyDescent="0.3">
      <c r="A3" s="1" t="s">
        <v>12</v>
      </c>
      <c r="B3" t="s">
        <v>24</v>
      </c>
    </row>
    <row r="4" spans="1:13" x14ac:dyDescent="0.3">
      <c r="A4" s="1" t="s">
        <v>11</v>
      </c>
      <c r="B4" t="s">
        <v>34</v>
      </c>
    </row>
    <row r="5" spans="1:13" x14ac:dyDescent="0.3">
      <c r="A5" t="s">
        <v>6</v>
      </c>
    </row>
    <row r="6" spans="1:13" ht="15" thickBot="1" x14ac:dyDescent="0.35">
      <c r="A6" s="1" t="s">
        <v>0</v>
      </c>
    </row>
    <row r="7" spans="1:13" ht="15" thickBot="1" x14ac:dyDescent="0.35">
      <c r="A7" s="1"/>
      <c r="J7" s="12"/>
      <c r="K7" s="13" t="s">
        <v>9</v>
      </c>
      <c r="L7" s="14"/>
      <c r="M7" s="15"/>
    </row>
    <row r="8" spans="1:13" ht="15" thickBot="1" x14ac:dyDescent="0.35">
      <c r="A8" s="2" t="s">
        <v>1</v>
      </c>
      <c r="B8" s="3" t="s">
        <v>2</v>
      </c>
      <c r="C8" s="4" t="s">
        <v>3</v>
      </c>
      <c r="D8" s="2" t="s">
        <v>4</v>
      </c>
      <c r="E8" s="3" t="s">
        <v>5</v>
      </c>
      <c r="F8" s="3" t="s">
        <v>16</v>
      </c>
      <c r="G8" s="3" t="s">
        <v>14</v>
      </c>
      <c r="H8" s="3" t="s">
        <v>15</v>
      </c>
      <c r="I8" s="3" t="s">
        <v>10</v>
      </c>
      <c r="J8" s="16" t="s">
        <v>18</v>
      </c>
      <c r="K8" s="16" t="s">
        <v>19</v>
      </c>
      <c r="L8" s="16" t="s">
        <v>20</v>
      </c>
      <c r="M8" s="16" t="s">
        <v>21</v>
      </c>
    </row>
    <row r="9" spans="1:13" x14ac:dyDescent="0.3">
      <c r="A9" s="5">
        <v>1</v>
      </c>
      <c r="B9" s="5">
        <v>1</v>
      </c>
      <c r="C9" s="5">
        <v>8</v>
      </c>
      <c r="D9" s="6">
        <v>6</v>
      </c>
      <c r="E9" s="6">
        <v>6</v>
      </c>
      <c r="F9" s="6">
        <v>86</v>
      </c>
      <c r="G9" s="6">
        <v>1</v>
      </c>
      <c r="H9" s="6">
        <v>0</v>
      </c>
      <c r="I9" s="6">
        <v>0.8</v>
      </c>
      <c r="J9" s="6">
        <v>26.7</v>
      </c>
      <c r="K9" s="6">
        <v>28</v>
      </c>
      <c r="L9" s="6">
        <v>29.2</v>
      </c>
      <c r="M9" s="17">
        <f>AVERAGE(J9,K9, L9)</f>
        <v>27.966666666666669</v>
      </c>
    </row>
    <row r="10" spans="1:13" x14ac:dyDescent="0.3">
      <c r="A10" s="5">
        <v>2</v>
      </c>
      <c r="B10" s="5">
        <v>1</v>
      </c>
      <c r="C10" s="6">
        <v>9</v>
      </c>
      <c r="D10" s="6">
        <v>6</v>
      </c>
      <c r="E10" s="6">
        <v>6</v>
      </c>
      <c r="F10" s="6">
        <v>89</v>
      </c>
      <c r="G10" s="6">
        <v>1</v>
      </c>
      <c r="H10" s="6">
        <v>0</v>
      </c>
      <c r="I10" s="6">
        <v>0.8</v>
      </c>
      <c r="J10" s="6">
        <v>31.6</v>
      </c>
      <c r="K10" s="6">
        <v>36.6</v>
      </c>
      <c r="L10" s="7">
        <v>32.5</v>
      </c>
      <c r="M10" s="17">
        <f t="shared" ref="M10:M56" si="0">AVERAGE(J10,K10, L10)</f>
        <v>33.56666666666667</v>
      </c>
    </row>
    <row r="11" spans="1:13" x14ac:dyDescent="0.3">
      <c r="A11" s="5">
        <v>3</v>
      </c>
      <c r="B11" s="5">
        <v>1</v>
      </c>
      <c r="C11" s="6">
        <v>7</v>
      </c>
      <c r="D11" s="6">
        <v>6</v>
      </c>
      <c r="E11" s="6">
        <v>6.5</v>
      </c>
      <c r="F11" s="6">
        <v>90</v>
      </c>
      <c r="G11" s="6">
        <v>1</v>
      </c>
      <c r="H11" s="6">
        <v>0</v>
      </c>
      <c r="I11" s="6">
        <v>0.78</v>
      </c>
      <c r="J11" s="6">
        <v>29.6</v>
      </c>
      <c r="K11" s="6">
        <v>31.2</v>
      </c>
      <c r="L11" s="6">
        <v>28.6</v>
      </c>
      <c r="M11" s="17">
        <f t="shared" si="0"/>
        <v>29.8</v>
      </c>
    </row>
    <row r="12" spans="1:13" x14ac:dyDescent="0.3">
      <c r="A12" s="5">
        <v>4</v>
      </c>
      <c r="B12" s="5">
        <v>1</v>
      </c>
      <c r="C12" s="6">
        <v>3</v>
      </c>
      <c r="D12" s="6">
        <v>6</v>
      </c>
      <c r="E12" s="6">
        <v>6</v>
      </c>
      <c r="F12" s="6">
        <v>89</v>
      </c>
      <c r="G12" s="6">
        <v>1</v>
      </c>
      <c r="H12" s="6">
        <v>0</v>
      </c>
      <c r="I12" s="6">
        <v>0.8</v>
      </c>
      <c r="J12" s="6">
        <v>30.3</v>
      </c>
      <c r="K12" s="6">
        <v>27.3</v>
      </c>
      <c r="L12" s="6">
        <v>28.5</v>
      </c>
      <c r="M12" s="17">
        <f t="shared" si="0"/>
        <v>28.7</v>
      </c>
    </row>
    <row r="13" spans="1:13" x14ac:dyDescent="0.3">
      <c r="A13" s="11" t="s">
        <v>17</v>
      </c>
      <c r="B13" s="11" t="s">
        <v>17</v>
      </c>
      <c r="C13" s="11" t="s">
        <v>17</v>
      </c>
      <c r="D13" s="11" t="s">
        <v>17</v>
      </c>
      <c r="E13" s="11" t="s">
        <v>17</v>
      </c>
      <c r="F13" s="11" t="s">
        <v>17</v>
      </c>
      <c r="G13" s="11" t="s">
        <v>17</v>
      </c>
      <c r="H13" s="11" t="s">
        <v>17</v>
      </c>
      <c r="I13" s="11" t="s">
        <v>17</v>
      </c>
      <c r="J13" s="11" t="s">
        <v>17</v>
      </c>
      <c r="K13" s="11" t="s">
        <v>17</v>
      </c>
      <c r="L13" s="11" t="s">
        <v>17</v>
      </c>
      <c r="M13" s="21"/>
    </row>
    <row r="14" spans="1:13" x14ac:dyDescent="0.3">
      <c r="A14" s="5">
        <v>5</v>
      </c>
      <c r="B14" s="5">
        <v>1</v>
      </c>
      <c r="C14" s="6">
        <v>2</v>
      </c>
      <c r="D14" s="6">
        <v>5.5</v>
      </c>
      <c r="E14" s="6">
        <v>6</v>
      </c>
      <c r="F14" s="6">
        <v>87</v>
      </c>
      <c r="G14" s="6">
        <v>1</v>
      </c>
      <c r="H14" s="6">
        <v>0</v>
      </c>
      <c r="I14" s="6">
        <v>0.8</v>
      </c>
      <c r="J14" s="6">
        <v>23</v>
      </c>
      <c r="K14" s="6">
        <v>28</v>
      </c>
      <c r="L14" s="6">
        <v>24</v>
      </c>
      <c r="M14" s="17">
        <f t="shared" si="0"/>
        <v>25</v>
      </c>
    </row>
    <row r="15" spans="1:13" x14ac:dyDescent="0.3">
      <c r="A15" s="5">
        <v>6</v>
      </c>
      <c r="B15" s="5">
        <v>1</v>
      </c>
      <c r="C15" s="6">
        <v>10</v>
      </c>
      <c r="D15" s="6">
        <v>5</v>
      </c>
      <c r="E15" s="7" t="s">
        <v>35</v>
      </c>
      <c r="F15" s="6">
        <v>86</v>
      </c>
      <c r="G15" s="6">
        <v>1</v>
      </c>
      <c r="H15" s="6">
        <v>0</v>
      </c>
      <c r="I15" s="6">
        <v>0.83</v>
      </c>
      <c r="J15" s="6">
        <v>28</v>
      </c>
      <c r="K15" s="6">
        <v>30</v>
      </c>
      <c r="L15" s="6">
        <v>27.2</v>
      </c>
      <c r="M15" s="17">
        <f t="shared" si="0"/>
        <v>28.400000000000002</v>
      </c>
    </row>
    <row r="16" spans="1:13" x14ac:dyDescent="0.3">
      <c r="A16" s="5">
        <v>7</v>
      </c>
      <c r="B16" s="5">
        <v>1</v>
      </c>
      <c r="C16" s="6">
        <v>4</v>
      </c>
      <c r="D16" s="6">
        <v>5.5</v>
      </c>
      <c r="E16" s="6">
        <v>5.5</v>
      </c>
      <c r="F16" s="6">
        <v>88</v>
      </c>
      <c r="G16" s="6">
        <v>1</v>
      </c>
      <c r="H16" s="6">
        <v>0</v>
      </c>
      <c r="I16" s="6">
        <v>0.78</v>
      </c>
      <c r="J16" s="6">
        <v>25.8</v>
      </c>
      <c r="K16" s="6">
        <v>32.1</v>
      </c>
      <c r="L16" s="6">
        <v>27.4</v>
      </c>
      <c r="M16" s="17">
        <f t="shared" si="0"/>
        <v>28.433333333333337</v>
      </c>
    </row>
    <row r="17" spans="1:13" x14ac:dyDescent="0.3">
      <c r="A17" s="5">
        <v>8</v>
      </c>
      <c r="B17" s="5">
        <v>1</v>
      </c>
      <c r="C17" s="6">
        <v>5</v>
      </c>
      <c r="D17" s="6">
        <v>6</v>
      </c>
      <c r="E17" s="6">
        <v>5.5</v>
      </c>
      <c r="F17" s="6">
        <v>89</v>
      </c>
      <c r="G17" s="6">
        <v>1</v>
      </c>
      <c r="H17" s="6">
        <v>0</v>
      </c>
      <c r="I17" s="6">
        <v>0.81</v>
      </c>
      <c r="J17" s="6">
        <v>29.6</v>
      </c>
      <c r="K17" s="6">
        <v>28.4</v>
      </c>
      <c r="L17" s="6">
        <v>30.8</v>
      </c>
      <c r="M17" s="17">
        <f t="shared" si="0"/>
        <v>29.599999999999998</v>
      </c>
    </row>
    <row r="18" spans="1:13" x14ac:dyDescent="0.3">
      <c r="A18" s="5">
        <v>9</v>
      </c>
      <c r="B18" s="5">
        <v>1</v>
      </c>
      <c r="C18" s="6">
        <v>11</v>
      </c>
      <c r="D18" s="6">
        <v>6</v>
      </c>
      <c r="E18" s="6">
        <v>6</v>
      </c>
      <c r="F18" s="6">
        <v>87</v>
      </c>
      <c r="G18" s="6">
        <v>1</v>
      </c>
      <c r="H18" s="6">
        <v>0</v>
      </c>
      <c r="I18" s="6">
        <v>0.8</v>
      </c>
      <c r="J18" s="6">
        <v>27.8</v>
      </c>
      <c r="K18" s="6">
        <v>24.3</v>
      </c>
      <c r="L18" s="6">
        <v>21</v>
      </c>
      <c r="M18" s="17">
        <f t="shared" si="0"/>
        <v>24.366666666666664</v>
      </c>
    </row>
    <row r="19" spans="1:13" x14ac:dyDescent="0.3">
      <c r="A19" s="5">
        <v>10</v>
      </c>
      <c r="B19" s="5">
        <v>1</v>
      </c>
      <c r="C19" s="6">
        <v>1</v>
      </c>
      <c r="D19" s="6">
        <v>6</v>
      </c>
      <c r="E19" s="6">
        <v>6</v>
      </c>
      <c r="F19" s="6">
        <v>88</v>
      </c>
      <c r="G19" s="6">
        <v>1</v>
      </c>
      <c r="H19" s="6">
        <v>0</v>
      </c>
      <c r="I19" s="6">
        <v>0.82</v>
      </c>
      <c r="J19" s="6">
        <v>22.1</v>
      </c>
      <c r="K19" s="6">
        <v>18.899999999999999</v>
      </c>
      <c r="L19" s="6">
        <v>19.8</v>
      </c>
      <c r="M19" s="17">
        <f t="shared" si="0"/>
        <v>20.266666666666666</v>
      </c>
    </row>
    <row r="20" spans="1:13" x14ac:dyDescent="0.3">
      <c r="A20" s="5">
        <v>11</v>
      </c>
      <c r="B20" s="5">
        <v>1</v>
      </c>
      <c r="C20" s="6">
        <v>6</v>
      </c>
      <c r="D20" s="6">
        <v>6</v>
      </c>
      <c r="E20" s="6">
        <v>6</v>
      </c>
      <c r="F20" s="6">
        <v>89</v>
      </c>
      <c r="G20" s="6">
        <v>1</v>
      </c>
      <c r="H20" s="6">
        <v>0</v>
      </c>
      <c r="I20" s="6">
        <v>0.81</v>
      </c>
      <c r="J20" s="6">
        <v>19.399999999999999</v>
      </c>
      <c r="K20" s="6">
        <v>24</v>
      </c>
      <c r="L20" s="6">
        <v>23.8</v>
      </c>
      <c r="M20" s="17">
        <f t="shared" si="0"/>
        <v>22.400000000000002</v>
      </c>
    </row>
    <row r="21" spans="1:13" x14ac:dyDescent="0.3">
      <c r="A21" s="8">
        <v>12</v>
      </c>
      <c r="B21" s="8">
        <v>2</v>
      </c>
      <c r="C21" s="9">
        <v>1</v>
      </c>
      <c r="D21" s="9">
        <v>6</v>
      </c>
      <c r="E21" s="9">
        <v>5.5</v>
      </c>
      <c r="F21" s="9">
        <v>87</v>
      </c>
      <c r="G21" s="9">
        <v>1</v>
      </c>
      <c r="H21" s="9">
        <v>0</v>
      </c>
      <c r="I21" s="9">
        <v>0.79</v>
      </c>
      <c r="J21" s="9">
        <v>24.1</v>
      </c>
      <c r="K21" s="9">
        <v>25.7</v>
      </c>
      <c r="L21" s="9">
        <v>22.9</v>
      </c>
      <c r="M21" s="19">
        <f t="shared" si="0"/>
        <v>24.233333333333331</v>
      </c>
    </row>
    <row r="22" spans="1:13" x14ac:dyDescent="0.3">
      <c r="A22" s="8">
        <v>13</v>
      </c>
      <c r="B22" s="8">
        <v>2</v>
      </c>
      <c r="C22" s="9">
        <v>6</v>
      </c>
      <c r="D22" s="9">
        <v>6</v>
      </c>
      <c r="E22" s="9">
        <v>6</v>
      </c>
      <c r="F22" s="9">
        <v>88</v>
      </c>
      <c r="G22" s="9">
        <v>1</v>
      </c>
      <c r="H22" s="9">
        <v>0</v>
      </c>
      <c r="I22" s="9">
        <v>0.82</v>
      </c>
      <c r="J22" s="9">
        <v>25.1</v>
      </c>
      <c r="K22" s="9">
        <v>26.3</v>
      </c>
      <c r="L22" s="10">
        <v>30.3</v>
      </c>
      <c r="M22" s="19">
        <f t="shared" si="0"/>
        <v>27.233333333333334</v>
      </c>
    </row>
    <row r="23" spans="1:13" x14ac:dyDescent="0.3">
      <c r="A23" s="11" t="s">
        <v>17</v>
      </c>
      <c r="B23" s="11" t="s">
        <v>17</v>
      </c>
      <c r="C23" s="11" t="s">
        <v>17</v>
      </c>
      <c r="D23" s="11" t="s">
        <v>17</v>
      </c>
      <c r="E23" s="11" t="s">
        <v>17</v>
      </c>
      <c r="F23" s="11" t="s">
        <v>17</v>
      </c>
      <c r="G23" s="11" t="s">
        <v>17</v>
      </c>
      <c r="H23" s="11" t="s">
        <v>17</v>
      </c>
      <c r="I23" s="11" t="s">
        <v>17</v>
      </c>
      <c r="J23" s="11" t="s">
        <v>17</v>
      </c>
      <c r="K23" s="11" t="s">
        <v>17</v>
      </c>
      <c r="L23" s="11" t="s">
        <v>17</v>
      </c>
      <c r="M23" s="21"/>
    </row>
    <row r="24" spans="1:13" x14ac:dyDescent="0.3">
      <c r="A24" s="8">
        <v>14</v>
      </c>
      <c r="B24" s="8">
        <v>2</v>
      </c>
      <c r="C24" s="9">
        <v>10</v>
      </c>
      <c r="D24" s="9">
        <v>6</v>
      </c>
      <c r="E24" s="9">
        <v>6</v>
      </c>
      <c r="F24" s="9">
        <v>90</v>
      </c>
      <c r="G24" s="9">
        <v>1</v>
      </c>
      <c r="H24" s="9">
        <v>0</v>
      </c>
      <c r="I24" s="9">
        <v>0.8</v>
      </c>
      <c r="J24" s="9">
        <v>25.7</v>
      </c>
      <c r="K24" s="9">
        <v>22.8</v>
      </c>
      <c r="L24" s="9">
        <v>29.2</v>
      </c>
      <c r="M24" s="19">
        <f t="shared" si="0"/>
        <v>25.900000000000002</v>
      </c>
    </row>
    <row r="25" spans="1:13" x14ac:dyDescent="0.3">
      <c r="A25" s="8">
        <v>15</v>
      </c>
      <c r="B25" s="8">
        <v>2</v>
      </c>
      <c r="C25" s="9">
        <v>3</v>
      </c>
      <c r="D25" s="9">
        <v>6</v>
      </c>
      <c r="E25" s="9">
        <v>6</v>
      </c>
      <c r="F25" s="9">
        <v>86</v>
      </c>
      <c r="G25" s="9">
        <v>1</v>
      </c>
      <c r="H25" s="9">
        <v>0</v>
      </c>
      <c r="I25" s="9">
        <v>0.81</v>
      </c>
      <c r="J25" s="9">
        <v>29.2</v>
      </c>
      <c r="K25" s="9">
        <v>27.7</v>
      </c>
      <c r="L25" s="9">
        <v>26.9</v>
      </c>
      <c r="M25" s="19">
        <f t="shared" si="0"/>
        <v>27.933333333333334</v>
      </c>
    </row>
    <row r="26" spans="1:13" x14ac:dyDescent="0.3">
      <c r="A26" s="8">
        <v>16</v>
      </c>
      <c r="B26" s="8">
        <v>2</v>
      </c>
      <c r="C26" s="9">
        <v>4</v>
      </c>
      <c r="D26" s="9">
        <v>6</v>
      </c>
      <c r="E26" s="9">
        <v>6</v>
      </c>
      <c r="F26" s="9">
        <v>88</v>
      </c>
      <c r="G26" s="9">
        <v>1</v>
      </c>
      <c r="H26" s="9">
        <v>0</v>
      </c>
      <c r="I26" s="9">
        <v>0.81</v>
      </c>
      <c r="J26" s="9">
        <v>22</v>
      </c>
      <c r="K26" s="9">
        <v>21.9</v>
      </c>
      <c r="L26" s="9">
        <v>25.3</v>
      </c>
      <c r="M26" s="19">
        <f t="shared" si="0"/>
        <v>23.066666666666666</v>
      </c>
    </row>
    <row r="27" spans="1:13" x14ac:dyDescent="0.3">
      <c r="A27" s="8">
        <v>17</v>
      </c>
      <c r="B27" s="8">
        <v>2</v>
      </c>
      <c r="C27" s="9">
        <v>2</v>
      </c>
      <c r="D27" s="9">
        <v>6.5</v>
      </c>
      <c r="E27" s="9">
        <v>6</v>
      </c>
      <c r="F27" s="9">
        <v>90</v>
      </c>
      <c r="G27" s="9">
        <v>1</v>
      </c>
      <c r="H27" s="9">
        <v>0</v>
      </c>
      <c r="I27" s="9">
        <v>0.83</v>
      </c>
      <c r="J27" s="9">
        <v>25.8</v>
      </c>
      <c r="K27" s="9">
        <v>23.9</v>
      </c>
      <c r="L27" s="9">
        <v>30.8</v>
      </c>
      <c r="M27" s="19">
        <f t="shared" si="0"/>
        <v>26.833333333333332</v>
      </c>
    </row>
    <row r="28" spans="1:13" x14ac:dyDescent="0.3">
      <c r="A28" s="8">
        <v>18</v>
      </c>
      <c r="B28" s="8">
        <v>2</v>
      </c>
      <c r="C28" s="9">
        <v>11</v>
      </c>
      <c r="D28" s="9">
        <v>6</v>
      </c>
      <c r="E28" s="9">
        <v>6</v>
      </c>
      <c r="F28" s="9">
        <v>89</v>
      </c>
      <c r="G28" s="9">
        <v>1</v>
      </c>
      <c r="H28" s="9">
        <v>0</v>
      </c>
      <c r="I28" s="9">
        <v>0.79</v>
      </c>
      <c r="J28" s="9">
        <v>30.6</v>
      </c>
      <c r="K28" s="9">
        <v>31.2</v>
      </c>
      <c r="L28" s="9">
        <v>28.6</v>
      </c>
      <c r="M28" s="19">
        <f t="shared" si="0"/>
        <v>30.133333333333336</v>
      </c>
    </row>
    <row r="29" spans="1:13" x14ac:dyDescent="0.3">
      <c r="A29" s="8">
        <v>19</v>
      </c>
      <c r="B29" s="8">
        <v>2</v>
      </c>
      <c r="C29" s="9">
        <v>7</v>
      </c>
      <c r="D29" s="9">
        <v>6.5</v>
      </c>
      <c r="E29" s="9">
        <v>6</v>
      </c>
      <c r="F29" s="9">
        <v>90</v>
      </c>
      <c r="G29" s="9">
        <v>1</v>
      </c>
      <c r="H29" s="9">
        <v>0</v>
      </c>
      <c r="I29" s="9">
        <v>0.81</v>
      </c>
      <c r="J29" s="9">
        <v>27.6</v>
      </c>
      <c r="K29" s="9">
        <v>29.5</v>
      </c>
      <c r="L29" s="9">
        <v>28.2</v>
      </c>
      <c r="M29" s="19">
        <f t="shared" si="0"/>
        <v>28.433333333333334</v>
      </c>
    </row>
    <row r="30" spans="1:13" x14ac:dyDescent="0.3">
      <c r="A30" s="8">
        <v>20</v>
      </c>
      <c r="B30" s="8">
        <v>2</v>
      </c>
      <c r="C30" s="9">
        <v>9</v>
      </c>
      <c r="D30" s="10">
        <v>6</v>
      </c>
      <c r="E30" s="9">
        <v>5.5</v>
      </c>
      <c r="F30" s="9">
        <v>91</v>
      </c>
      <c r="G30" s="9">
        <v>1</v>
      </c>
      <c r="H30" s="9">
        <v>0</v>
      </c>
      <c r="I30" s="9">
        <v>0.8</v>
      </c>
      <c r="J30" s="9">
        <v>25</v>
      </c>
      <c r="K30" s="9">
        <v>29.6</v>
      </c>
      <c r="L30" s="9">
        <v>27.7</v>
      </c>
      <c r="M30" s="19">
        <f t="shared" si="0"/>
        <v>27.433333333333334</v>
      </c>
    </row>
    <row r="31" spans="1:13" x14ac:dyDescent="0.3">
      <c r="A31" s="8">
        <v>21</v>
      </c>
      <c r="B31" s="8">
        <v>2</v>
      </c>
      <c r="C31" s="9">
        <v>5</v>
      </c>
      <c r="D31" s="9">
        <v>6</v>
      </c>
      <c r="E31" s="9">
        <v>5.5</v>
      </c>
      <c r="F31" s="9">
        <v>88</v>
      </c>
      <c r="G31" s="9">
        <v>1</v>
      </c>
      <c r="H31" s="9">
        <v>0</v>
      </c>
      <c r="I31" s="9">
        <v>0.81</v>
      </c>
      <c r="J31" s="9">
        <v>30</v>
      </c>
      <c r="K31" s="9">
        <v>24.8</v>
      </c>
      <c r="L31" s="9">
        <v>26.3</v>
      </c>
      <c r="M31" s="19">
        <f t="shared" si="0"/>
        <v>27.033333333333331</v>
      </c>
    </row>
    <row r="32" spans="1:13" x14ac:dyDescent="0.3">
      <c r="A32" s="8">
        <v>22</v>
      </c>
      <c r="B32" s="8">
        <v>2</v>
      </c>
      <c r="C32" s="9">
        <v>8</v>
      </c>
      <c r="D32" s="9">
        <v>6</v>
      </c>
      <c r="E32" s="9">
        <v>6</v>
      </c>
      <c r="F32" s="9">
        <v>92</v>
      </c>
      <c r="G32" s="9">
        <v>1</v>
      </c>
      <c r="H32" s="9">
        <v>0</v>
      </c>
      <c r="I32" s="9">
        <v>0.81</v>
      </c>
      <c r="J32" s="9">
        <v>25.6</v>
      </c>
      <c r="K32" s="9">
        <v>21.8</v>
      </c>
      <c r="L32" s="9">
        <v>24.3</v>
      </c>
      <c r="M32" s="19">
        <f t="shared" si="0"/>
        <v>23.900000000000002</v>
      </c>
    </row>
    <row r="33" spans="1:13" x14ac:dyDescent="0.3">
      <c r="A33" s="5">
        <v>23</v>
      </c>
      <c r="B33" s="6">
        <v>3</v>
      </c>
      <c r="C33" s="6">
        <v>4</v>
      </c>
      <c r="D33" s="6">
        <v>6</v>
      </c>
      <c r="E33" s="6">
        <v>6</v>
      </c>
      <c r="F33" s="6">
        <v>87</v>
      </c>
      <c r="G33" s="6">
        <v>1</v>
      </c>
      <c r="H33" s="6">
        <v>0</v>
      </c>
      <c r="I33" s="6">
        <v>0.8</v>
      </c>
      <c r="J33" s="6">
        <v>30.8</v>
      </c>
      <c r="K33" s="6">
        <v>25.6</v>
      </c>
      <c r="L33" s="6">
        <v>22.5</v>
      </c>
      <c r="M33" s="17">
        <f t="shared" si="0"/>
        <v>26.3</v>
      </c>
    </row>
    <row r="34" spans="1:13" x14ac:dyDescent="0.3">
      <c r="A34" s="5">
        <v>24</v>
      </c>
      <c r="B34" s="6">
        <v>3</v>
      </c>
      <c r="C34" s="6">
        <v>1</v>
      </c>
      <c r="D34" s="6">
        <v>6</v>
      </c>
      <c r="E34" s="6">
        <v>6</v>
      </c>
      <c r="F34" s="6">
        <v>87</v>
      </c>
      <c r="G34" s="6">
        <v>1</v>
      </c>
      <c r="H34" s="6">
        <v>0</v>
      </c>
      <c r="I34" s="7">
        <v>0.83</v>
      </c>
      <c r="J34" s="6">
        <v>18</v>
      </c>
      <c r="K34" s="6">
        <v>21.1</v>
      </c>
      <c r="L34" s="6">
        <v>22.4</v>
      </c>
      <c r="M34" s="17">
        <f t="shared" si="0"/>
        <v>20.5</v>
      </c>
    </row>
    <row r="35" spans="1:13" x14ac:dyDescent="0.3">
      <c r="A35" s="5">
        <v>25</v>
      </c>
      <c r="B35" s="6">
        <v>3</v>
      </c>
      <c r="C35" s="6">
        <v>9</v>
      </c>
      <c r="D35" s="6">
        <v>6</v>
      </c>
      <c r="E35" s="6">
        <v>5.5</v>
      </c>
      <c r="F35" s="6">
        <v>88</v>
      </c>
      <c r="G35" s="6">
        <v>1</v>
      </c>
      <c r="H35" s="6">
        <v>0</v>
      </c>
      <c r="I35" s="6">
        <v>0.79</v>
      </c>
      <c r="J35" s="6">
        <v>24.3</v>
      </c>
      <c r="K35" s="6">
        <v>27.6</v>
      </c>
      <c r="L35" s="6">
        <v>22</v>
      </c>
      <c r="M35" s="17">
        <f t="shared" si="0"/>
        <v>24.633333333333336</v>
      </c>
    </row>
    <row r="36" spans="1:13" x14ac:dyDescent="0.3">
      <c r="A36" s="5">
        <v>26</v>
      </c>
      <c r="B36" s="6">
        <v>3</v>
      </c>
      <c r="C36" s="6">
        <v>2</v>
      </c>
      <c r="D36" s="6">
        <v>6</v>
      </c>
      <c r="E36" s="6">
        <v>5.5</v>
      </c>
      <c r="F36" s="6">
        <v>89</v>
      </c>
      <c r="G36" s="6">
        <v>1</v>
      </c>
      <c r="H36" s="6">
        <v>0</v>
      </c>
      <c r="I36" s="6">
        <v>0.83</v>
      </c>
      <c r="J36" s="6">
        <v>24</v>
      </c>
      <c r="K36" s="6">
        <v>21.3</v>
      </c>
      <c r="L36" s="6">
        <v>26.5</v>
      </c>
      <c r="M36" s="17">
        <f t="shared" si="0"/>
        <v>23.933333333333334</v>
      </c>
    </row>
    <row r="37" spans="1:13" x14ac:dyDescent="0.3">
      <c r="A37" s="5">
        <v>27</v>
      </c>
      <c r="B37" s="6">
        <v>3</v>
      </c>
      <c r="C37" s="6">
        <v>6</v>
      </c>
      <c r="D37" s="6">
        <v>6</v>
      </c>
      <c r="E37" s="6">
        <v>5.5</v>
      </c>
      <c r="F37" s="6">
        <v>87</v>
      </c>
      <c r="G37" s="6">
        <v>1</v>
      </c>
      <c r="H37" s="6">
        <v>0</v>
      </c>
      <c r="I37" s="6">
        <v>0.81</v>
      </c>
      <c r="J37" s="6">
        <v>20.6</v>
      </c>
      <c r="K37" s="6">
        <v>17.899999999999999</v>
      </c>
      <c r="L37" s="6">
        <v>28.5</v>
      </c>
      <c r="M37" s="17">
        <f t="shared" si="0"/>
        <v>22.333333333333332</v>
      </c>
    </row>
    <row r="38" spans="1:13" x14ac:dyDescent="0.3">
      <c r="A38" s="5">
        <v>28</v>
      </c>
      <c r="B38" s="6">
        <v>3</v>
      </c>
      <c r="C38" s="6">
        <v>11</v>
      </c>
      <c r="D38" s="6">
        <v>6</v>
      </c>
      <c r="E38" s="6">
        <v>6</v>
      </c>
      <c r="F38" s="6">
        <v>87</v>
      </c>
      <c r="G38" s="6">
        <v>1</v>
      </c>
      <c r="H38" s="6">
        <v>0</v>
      </c>
      <c r="I38" s="6">
        <v>0.79</v>
      </c>
      <c r="J38" s="6">
        <v>25.1</v>
      </c>
      <c r="K38" s="6">
        <v>29.2</v>
      </c>
      <c r="L38" s="6">
        <v>23.77</v>
      </c>
      <c r="M38" s="17">
        <f t="shared" si="0"/>
        <v>26.02333333333333</v>
      </c>
    </row>
    <row r="39" spans="1:13" x14ac:dyDescent="0.3">
      <c r="A39" s="5">
        <v>29</v>
      </c>
      <c r="B39" s="6">
        <v>3</v>
      </c>
      <c r="C39" s="6">
        <v>5</v>
      </c>
      <c r="D39" s="6">
        <v>5.5</v>
      </c>
      <c r="E39" s="6">
        <v>5.5</v>
      </c>
      <c r="F39" s="6">
        <v>88</v>
      </c>
      <c r="G39" s="6">
        <v>1</v>
      </c>
      <c r="H39" s="6">
        <v>0</v>
      </c>
      <c r="I39" s="6">
        <v>0.81</v>
      </c>
      <c r="J39" s="6">
        <v>27.2</v>
      </c>
      <c r="K39" s="6">
        <v>31.9</v>
      </c>
      <c r="L39" s="6">
        <v>32.9</v>
      </c>
      <c r="M39" s="17">
        <f t="shared" si="0"/>
        <v>30.666666666666668</v>
      </c>
    </row>
    <row r="40" spans="1:13" x14ac:dyDescent="0.3">
      <c r="A40" s="11" t="s">
        <v>17</v>
      </c>
      <c r="B40" s="11" t="s">
        <v>17</v>
      </c>
      <c r="C40" s="11" t="s">
        <v>17</v>
      </c>
      <c r="D40" s="11" t="s">
        <v>17</v>
      </c>
      <c r="E40" s="11" t="s">
        <v>17</v>
      </c>
      <c r="F40" s="11" t="s">
        <v>17</v>
      </c>
      <c r="G40" s="11" t="s">
        <v>17</v>
      </c>
      <c r="H40" s="11" t="s">
        <v>17</v>
      </c>
      <c r="I40" s="11" t="s">
        <v>17</v>
      </c>
      <c r="J40" s="11" t="s">
        <v>17</v>
      </c>
      <c r="K40" s="11" t="s">
        <v>17</v>
      </c>
      <c r="L40" s="11" t="s">
        <v>17</v>
      </c>
      <c r="M40" s="21"/>
    </row>
    <row r="41" spans="1:13" x14ac:dyDescent="0.3">
      <c r="A41" s="5">
        <v>30</v>
      </c>
      <c r="B41" s="6">
        <v>3</v>
      </c>
      <c r="C41" s="6">
        <v>8</v>
      </c>
      <c r="D41" s="6">
        <v>6</v>
      </c>
      <c r="E41" s="6">
        <v>6</v>
      </c>
      <c r="F41" s="6">
        <v>87</v>
      </c>
      <c r="G41" s="6">
        <v>1</v>
      </c>
      <c r="H41" s="6">
        <v>0</v>
      </c>
      <c r="I41" s="6">
        <v>0.83</v>
      </c>
      <c r="J41" s="6">
        <v>27.6</v>
      </c>
      <c r="K41" s="6">
        <v>25.3</v>
      </c>
      <c r="L41" s="6">
        <v>25.3</v>
      </c>
      <c r="M41" s="17">
        <f t="shared" si="0"/>
        <v>26.066666666666666</v>
      </c>
    </row>
    <row r="42" spans="1:13" x14ac:dyDescent="0.3">
      <c r="A42" s="5">
        <v>31</v>
      </c>
      <c r="B42" s="6">
        <v>3</v>
      </c>
      <c r="C42" s="6">
        <v>3</v>
      </c>
      <c r="D42" s="6">
        <v>5.5</v>
      </c>
      <c r="E42" s="6">
        <v>5.5</v>
      </c>
      <c r="F42" s="6">
        <v>86</v>
      </c>
      <c r="G42" s="6">
        <v>1</v>
      </c>
      <c r="H42" s="6">
        <v>0</v>
      </c>
      <c r="I42" s="7">
        <v>0.82</v>
      </c>
      <c r="J42" s="6">
        <v>27.8</v>
      </c>
      <c r="K42" s="6">
        <v>27.8</v>
      </c>
      <c r="L42" s="6">
        <v>28.9</v>
      </c>
      <c r="M42" s="17">
        <f t="shared" si="0"/>
        <v>28.166666666666668</v>
      </c>
    </row>
    <row r="43" spans="1:13" x14ac:dyDescent="0.3">
      <c r="A43" s="5">
        <v>32</v>
      </c>
      <c r="B43" s="6">
        <v>3</v>
      </c>
      <c r="C43" s="6">
        <v>7</v>
      </c>
      <c r="D43" s="6">
        <v>6</v>
      </c>
      <c r="E43" s="6">
        <v>6</v>
      </c>
      <c r="F43" s="6">
        <v>89</v>
      </c>
      <c r="G43" s="6">
        <v>1</v>
      </c>
      <c r="H43" s="6">
        <v>0</v>
      </c>
      <c r="I43" s="6">
        <v>0.81</v>
      </c>
      <c r="J43" s="6">
        <v>28.4</v>
      </c>
      <c r="K43" s="6">
        <v>29.8</v>
      </c>
      <c r="L43" s="6">
        <v>25.8</v>
      </c>
      <c r="M43" s="17">
        <f t="shared" si="0"/>
        <v>28</v>
      </c>
    </row>
    <row r="44" spans="1:13" x14ac:dyDescent="0.3">
      <c r="A44" s="5">
        <v>33</v>
      </c>
      <c r="B44" s="6">
        <v>3</v>
      </c>
      <c r="C44" s="6">
        <v>10</v>
      </c>
      <c r="D44" s="6">
        <v>6</v>
      </c>
      <c r="E44" s="6">
        <v>6</v>
      </c>
      <c r="F44" s="6">
        <v>90</v>
      </c>
      <c r="G44" s="6">
        <v>1</v>
      </c>
      <c r="H44" s="6">
        <v>0</v>
      </c>
      <c r="I44" s="6">
        <v>0.83</v>
      </c>
      <c r="J44" s="6">
        <v>26.3</v>
      </c>
      <c r="K44" s="6">
        <v>32.5</v>
      </c>
      <c r="L44" s="6">
        <v>24.9</v>
      </c>
      <c r="M44" s="17">
        <f t="shared" si="0"/>
        <v>27.899999999999995</v>
      </c>
    </row>
    <row r="45" spans="1:13" x14ac:dyDescent="0.3">
      <c r="A45" s="8">
        <v>34</v>
      </c>
      <c r="B45" s="9">
        <v>4</v>
      </c>
      <c r="C45" s="9">
        <v>7</v>
      </c>
      <c r="D45" s="10">
        <v>6</v>
      </c>
      <c r="E45" s="9">
        <v>6</v>
      </c>
      <c r="F45" s="9">
        <v>89</v>
      </c>
      <c r="G45" s="9">
        <v>1</v>
      </c>
      <c r="H45" s="9">
        <v>0</v>
      </c>
      <c r="I45" s="9">
        <v>0.83</v>
      </c>
      <c r="J45" s="9">
        <v>33.299999999999997</v>
      </c>
      <c r="K45" s="9">
        <v>30</v>
      </c>
      <c r="L45" s="9">
        <v>35.4</v>
      </c>
      <c r="M45" s="19">
        <f t="shared" si="0"/>
        <v>32.9</v>
      </c>
    </row>
    <row r="46" spans="1:13" x14ac:dyDescent="0.3">
      <c r="A46" s="8">
        <v>35</v>
      </c>
      <c r="B46" s="9">
        <v>4</v>
      </c>
      <c r="C46" s="9">
        <v>8</v>
      </c>
      <c r="D46" s="9">
        <v>5.5</v>
      </c>
      <c r="E46" s="9">
        <v>5.5</v>
      </c>
      <c r="F46" s="9">
        <v>86</v>
      </c>
      <c r="G46" s="9">
        <v>2</v>
      </c>
      <c r="H46" s="9">
        <v>8</v>
      </c>
      <c r="I46" s="9">
        <v>0.8</v>
      </c>
      <c r="J46" s="9">
        <v>30</v>
      </c>
      <c r="K46" s="9">
        <v>24.7</v>
      </c>
      <c r="L46" s="9">
        <v>26</v>
      </c>
      <c r="M46" s="19">
        <f t="shared" si="0"/>
        <v>26.900000000000002</v>
      </c>
    </row>
    <row r="47" spans="1:13" x14ac:dyDescent="0.3">
      <c r="A47" s="8">
        <v>36</v>
      </c>
      <c r="B47" s="9">
        <v>4</v>
      </c>
      <c r="C47" s="9">
        <v>11</v>
      </c>
      <c r="D47" s="9">
        <v>5.5</v>
      </c>
      <c r="E47" s="9">
        <v>5.5</v>
      </c>
      <c r="F47" s="9">
        <v>87</v>
      </c>
      <c r="G47" s="9">
        <v>2</v>
      </c>
      <c r="H47" s="9">
        <v>7</v>
      </c>
      <c r="I47" s="9">
        <v>0.77</v>
      </c>
      <c r="J47" s="9">
        <v>29.8</v>
      </c>
      <c r="K47" s="9">
        <v>33.1</v>
      </c>
      <c r="L47" s="9">
        <v>32.4</v>
      </c>
      <c r="M47" s="19">
        <f t="shared" si="0"/>
        <v>31.766666666666669</v>
      </c>
    </row>
    <row r="48" spans="1:13" x14ac:dyDescent="0.3">
      <c r="A48" s="8">
        <v>37</v>
      </c>
      <c r="B48" s="9">
        <v>4</v>
      </c>
      <c r="C48" s="9">
        <v>5</v>
      </c>
      <c r="D48" s="9">
        <v>6</v>
      </c>
      <c r="E48" s="9">
        <v>6</v>
      </c>
      <c r="F48" s="9">
        <v>88</v>
      </c>
      <c r="G48" s="9">
        <v>1</v>
      </c>
      <c r="H48" s="9">
        <v>0</v>
      </c>
      <c r="I48" s="9">
        <v>0.78</v>
      </c>
      <c r="J48" s="9">
        <v>34.5</v>
      </c>
      <c r="K48" s="9">
        <v>29.7</v>
      </c>
      <c r="L48" s="9">
        <v>28.7</v>
      </c>
      <c r="M48" s="19">
        <f t="shared" si="0"/>
        <v>30.966666666666669</v>
      </c>
    </row>
    <row r="49" spans="1:13" x14ac:dyDescent="0.3">
      <c r="A49" s="8">
        <v>38</v>
      </c>
      <c r="B49" s="9">
        <v>4</v>
      </c>
      <c r="C49" s="9">
        <v>9</v>
      </c>
      <c r="D49" s="9">
        <v>6</v>
      </c>
      <c r="E49" s="9">
        <v>6</v>
      </c>
      <c r="F49" s="9">
        <v>88</v>
      </c>
      <c r="G49" s="9">
        <v>1</v>
      </c>
      <c r="H49" s="9">
        <v>0</v>
      </c>
      <c r="I49" s="9">
        <v>0.82199999999999995</v>
      </c>
      <c r="J49" s="9">
        <v>30.6</v>
      </c>
      <c r="K49" s="9">
        <v>30.9</v>
      </c>
      <c r="L49" s="9">
        <v>25</v>
      </c>
      <c r="M49" s="19">
        <f t="shared" si="0"/>
        <v>28.833333333333332</v>
      </c>
    </row>
    <row r="50" spans="1:13" x14ac:dyDescent="0.3">
      <c r="A50" s="11" t="s">
        <v>17</v>
      </c>
      <c r="B50" s="11" t="s">
        <v>17</v>
      </c>
      <c r="C50" s="11" t="s">
        <v>17</v>
      </c>
      <c r="D50" s="11" t="s">
        <v>17</v>
      </c>
      <c r="E50" s="11" t="s">
        <v>17</v>
      </c>
      <c r="F50" s="11" t="s">
        <v>17</v>
      </c>
      <c r="G50" s="11" t="s">
        <v>17</v>
      </c>
      <c r="H50" s="11" t="s">
        <v>17</v>
      </c>
      <c r="I50" s="11" t="s">
        <v>17</v>
      </c>
      <c r="J50" s="11" t="s">
        <v>17</v>
      </c>
      <c r="K50" s="11" t="s">
        <v>17</v>
      </c>
      <c r="L50" s="11" t="s">
        <v>17</v>
      </c>
      <c r="M50" s="21"/>
    </row>
    <row r="51" spans="1:13" x14ac:dyDescent="0.3">
      <c r="A51" s="8">
        <v>39</v>
      </c>
      <c r="B51" s="9">
        <v>4</v>
      </c>
      <c r="C51" s="9">
        <v>6</v>
      </c>
      <c r="D51" s="9">
        <v>6</v>
      </c>
      <c r="E51" s="9">
        <v>6</v>
      </c>
      <c r="F51" s="9">
        <v>88</v>
      </c>
      <c r="G51" s="9">
        <v>1</v>
      </c>
      <c r="H51" s="9">
        <v>0</v>
      </c>
      <c r="I51" s="9">
        <v>0.85</v>
      </c>
      <c r="J51" s="9">
        <v>25.9</v>
      </c>
      <c r="K51" s="9">
        <v>25.7</v>
      </c>
      <c r="L51" s="9">
        <v>27.2</v>
      </c>
      <c r="M51" s="19">
        <f t="shared" si="0"/>
        <v>26.266666666666666</v>
      </c>
    </row>
    <row r="52" spans="1:13" x14ac:dyDescent="0.3">
      <c r="A52" s="8">
        <v>40</v>
      </c>
      <c r="B52" s="9">
        <v>4</v>
      </c>
      <c r="C52" s="9">
        <v>2</v>
      </c>
      <c r="D52" s="9">
        <v>6</v>
      </c>
      <c r="E52" s="10">
        <v>5.5</v>
      </c>
      <c r="F52" s="9">
        <v>88</v>
      </c>
      <c r="G52" s="9">
        <v>1</v>
      </c>
      <c r="H52" s="9">
        <v>0</v>
      </c>
      <c r="I52" s="9">
        <v>0.8</v>
      </c>
      <c r="J52" s="10">
        <v>27.5</v>
      </c>
      <c r="K52" s="10">
        <v>28.9</v>
      </c>
      <c r="L52" s="9">
        <v>28.3</v>
      </c>
      <c r="M52" s="19">
        <f t="shared" si="0"/>
        <v>28.233333333333334</v>
      </c>
    </row>
    <row r="53" spans="1:13" x14ac:dyDescent="0.3">
      <c r="A53" s="8">
        <v>41</v>
      </c>
      <c r="B53" s="9">
        <v>4</v>
      </c>
      <c r="C53" s="9">
        <v>10</v>
      </c>
      <c r="D53" s="9">
        <v>6</v>
      </c>
      <c r="E53" s="9">
        <v>6</v>
      </c>
      <c r="F53" s="9">
        <v>90</v>
      </c>
      <c r="G53" s="9">
        <v>1</v>
      </c>
      <c r="H53" s="9">
        <v>0</v>
      </c>
      <c r="I53" s="9">
        <v>0.83</v>
      </c>
      <c r="J53" s="9">
        <v>26.3</v>
      </c>
      <c r="K53" s="9">
        <v>25.5</v>
      </c>
      <c r="L53" s="9">
        <v>28.8</v>
      </c>
      <c r="M53" s="19">
        <f t="shared" si="0"/>
        <v>26.866666666666664</v>
      </c>
    </row>
    <row r="54" spans="1:13" x14ac:dyDescent="0.3">
      <c r="A54" s="8">
        <v>42</v>
      </c>
      <c r="B54" s="9">
        <v>4</v>
      </c>
      <c r="C54" s="9">
        <v>1</v>
      </c>
      <c r="D54" s="9">
        <v>6</v>
      </c>
      <c r="E54" s="9">
        <v>5.5</v>
      </c>
      <c r="F54" s="9">
        <v>88</v>
      </c>
      <c r="G54" s="9">
        <v>1</v>
      </c>
      <c r="H54" s="9">
        <v>0</v>
      </c>
      <c r="I54" s="9">
        <v>0.8</v>
      </c>
      <c r="J54" s="9">
        <v>28.6</v>
      </c>
      <c r="K54" s="9">
        <v>28.1</v>
      </c>
      <c r="L54" s="9">
        <v>32</v>
      </c>
      <c r="M54" s="19">
        <f t="shared" si="0"/>
        <v>29.566666666666666</v>
      </c>
    </row>
    <row r="55" spans="1:13" x14ac:dyDescent="0.3">
      <c r="A55" s="8">
        <v>43</v>
      </c>
      <c r="B55" s="9">
        <v>4</v>
      </c>
      <c r="C55" s="9">
        <v>4</v>
      </c>
      <c r="D55" s="9">
        <v>6</v>
      </c>
      <c r="E55" s="9">
        <v>6</v>
      </c>
      <c r="F55" s="9">
        <v>89</v>
      </c>
      <c r="G55" s="9">
        <v>1</v>
      </c>
      <c r="H55" s="9">
        <v>0</v>
      </c>
      <c r="I55" s="9">
        <v>0.83</v>
      </c>
      <c r="J55" s="9">
        <v>26.2</v>
      </c>
      <c r="K55" s="9">
        <v>27.7</v>
      </c>
      <c r="L55" s="9">
        <v>25.6</v>
      </c>
      <c r="M55" s="19">
        <f t="shared" si="0"/>
        <v>26.5</v>
      </c>
    </row>
    <row r="56" spans="1:13" x14ac:dyDescent="0.3">
      <c r="A56" s="8">
        <v>44</v>
      </c>
      <c r="B56" s="9">
        <v>4</v>
      </c>
      <c r="C56" s="9">
        <v>3</v>
      </c>
      <c r="D56" s="9">
        <v>6</v>
      </c>
      <c r="E56" s="9">
        <v>6</v>
      </c>
      <c r="F56" s="9">
        <v>91</v>
      </c>
      <c r="G56" s="9">
        <v>1</v>
      </c>
      <c r="H56" s="9">
        <v>0</v>
      </c>
      <c r="I56" s="9">
        <v>0.83</v>
      </c>
      <c r="J56" s="9">
        <v>31.3</v>
      </c>
      <c r="K56" s="9">
        <v>25.4</v>
      </c>
      <c r="L56" s="9">
        <v>28.3</v>
      </c>
      <c r="M56" s="19">
        <f t="shared" si="0"/>
        <v>28.333333333333332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6"/>
  <sheetViews>
    <sheetView workbookViewId="0">
      <selection activeCell="M9" sqref="M9"/>
    </sheetView>
  </sheetViews>
  <sheetFormatPr defaultRowHeight="14.4" x14ac:dyDescent="0.3"/>
  <sheetData>
    <row r="1" spans="1:13" x14ac:dyDescent="0.3">
      <c r="A1" t="s">
        <v>7</v>
      </c>
      <c r="C1" t="s">
        <v>8</v>
      </c>
    </row>
    <row r="2" spans="1:13" x14ac:dyDescent="0.3">
      <c r="A2" s="1" t="s">
        <v>13</v>
      </c>
      <c r="B2" t="s">
        <v>36</v>
      </c>
    </row>
    <row r="3" spans="1:13" x14ac:dyDescent="0.3">
      <c r="A3" s="1" t="s">
        <v>12</v>
      </c>
      <c r="B3" t="s">
        <v>24</v>
      </c>
    </row>
    <row r="4" spans="1:13" x14ac:dyDescent="0.3">
      <c r="A4" s="1" t="s">
        <v>11</v>
      </c>
      <c r="B4" t="s">
        <v>25</v>
      </c>
    </row>
    <row r="5" spans="1:13" x14ac:dyDescent="0.3">
      <c r="A5" t="s">
        <v>6</v>
      </c>
      <c r="B5" t="s">
        <v>37</v>
      </c>
    </row>
    <row r="6" spans="1:13" ht="15" thickBot="1" x14ac:dyDescent="0.35">
      <c r="A6" s="1" t="s">
        <v>0</v>
      </c>
    </row>
    <row r="7" spans="1:13" ht="15" thickBot="1" x14ac:dyDescent="0.35">
      <c r="A7" s="1"/>
      <c r="J7" s="12"/>
      <c r="K7" s="13" t="s">
        <v>9</v>
      </c>
      <c r="L7" s="14"/>
      <c r="M7" s="15"/>
    </row>
    <row r="8" spans="1:13" ht="15" thickBot="1" x14ac:dyDescent="0.35">
      <c r="A8" s="2" t="s">
        <v>1</v>
      </c>
      <c r="B8" s="3" t="s">
        <v>2</v>
      </c>
      <c r="C8" s="4" t="s">
        <v>3</v>
      </c>
      <c r="D8" s="2" t="s">
        <v>4</v>
      </c>
      <c r="E8" s="3" t="s">
        <v>5</v>
      </c>
      <c r="F8" s="3" t="s">
        <v>16</v>
      </c>
      <c r="G8" s="3" t="s">
        <v>14</v>
      </c>
      <c r="H8" s="3" t="s">
        <v>15</v>
      </c>
      <c r="I8" s="3" t="s">
        <v>10</v>
      </c>
      <c r="J8" s="16" t="s">
        <v>18</v>
      </c>
      <c r="K8" s="16" t="s">
        <v>19</v>
      </c>
      <c r="L8" s="16" t="s">
        <v>20</v>
      </c>
      <c r="M8" s="16" t="s">
        <v>21</v>
      </c>
    </row>
    <row r="9" spans="1:13" x14ac:dyDescent="0.3">
      <c r="A9" s="5">
        <v>1</v>
      </c>
      <c r="B9" s="5">
        <v>1</v>
      </c>
      <c r="C9" s="5">
        <v>8</v>
      </c>
      <c r="D9" s="6">
        <v>5.5</v>
      </c>
      <c r="E9" s="6">
        <v>5.5</v>
      </c>
      <c r="F9" s="6">
        <v>86</v>
      </c>
      <c r="G9" s="6">
        <v>1</v>
      </c>
      <c r="H9" s="6">
        <v>0</v>
      </c>
      <c r="I9" s="6">
        <v>0.72</v>
      </c>
      <c r="J9" s="6">
        <v>14.9</v>
      </c>
      <c r="K9" s="6">
        <v>14.6</v>
      </c>
      <c r="L9" s="6">
        <v>16.5</v>
      </c>
      <c r="M9" s="17">
        <f>AVERAGE(J9, K9, L9)</f>
        <v>15.333333333333334</v>
      </c>
    </row>
    <row r="10" spans="1:13" x14ac:dyDescent="0.3">
      <c r="A10" s="5">
        <v>2</v>
      </c>
      <c r="B10" s="5">
        <v>1</v>
      </c>
      <c r="C10" s="6">
        <v>9</v>
      </c>
      <c r="D10" s="6">
        <v>5</v>
      </c>
      <c r="E10" s="6">
        <v>5</v>
      </c>
      <c r="F10" s="6">
        <v>86</v>
      </c>
      <c r="G10" s="6">
        <v>2</v>
      </c>
      <c r="H10" s="6">
        <v>15</v>
      </c>
      <c r="I10" s="6">
        <v>0.68</v>
      </c>
      <c r="J10" s="6">
        <v>18.5</v>
      </c>
      <c r="K10" s="6">
        <v>16.399999999999999</v>
      </c>
      <c r="L10" s="7">
        <v>15.3</v>
      </c>
      <c r="M10" s="17">
        <f t="shared" ref="M10:M56" si="0">AVERAGE(J10, K10, L10)</f>
        <v>16.733333333333334</v>
      </c>
    </row>
    <row r="11" spans="1:13" x14ac:dyDescent="0.3">
      <c r="A11" s="5">
        <v>3</v>
      </c>
      <c r="B11" s="5">
        <v>1</v>
      </c>
      <c r="C11" s="6">
        <v>7</v>
      </c>
      <c r="D11" s="6">
        <v>4</v>
      </c>
      <c r="E11" s="6">
        <v>5</v>
      </c>
      <c r="F11" s="6">
        <v>82</v>
      </c>
      <c r="G11" s="6">
        <v>2</v>
      </c>
      <c r="H11" s="6">
        <v>17</v>
      </c>
      <c r="I11" s="6">
        <v>0.69</v>
      </c>
      <c r="J11" s="6">
        <v>16.3</v>
      </c>
      <c r="K11" s="6">
        <v>16.5</v>
      </c>
      <c r="L11" s="6">
        <v>16.399999999999999</v>
      </c>
      <c r="M11" s="17">
        <f t="shared" si="0"/>
        <v>16.399999999999999</v>
      </c>
    </row>
    <row r="12" spans="1:13" x14ac:dyDescent="0.3">
      <c r="A12" s="5">
        <v>4</v>
      </c>
      <c r="B12" s="5">
        <v>1</v>
      </c>
      <c r="C12" s="6">
        <v>3</v>
      </c>
      <c r="D12" s="6">
        <v>5.5</v>
      </c>
      <c r="E12" s="6">
        <v>5.5</v>
      </c>
      <c r="F12" s="6">
        <v>87</v>
      </c>
      <c r="G12" s="6">
        <v>1</v>
      </c>
      <c r="H12" s="6">
        <v>0</v>
      </c>
      <c r="I12" s="6">
        <v>0.71</v>
      </c>
      <c r="J12" s="6">
        <v>16.2</v>
      </c>
      <c r="K12" s="6">
        <v>17.600000000000001</v>
      </c>
      <c r="L12" s="6">
        <v>17</v>
      </c>
      <c r="M12" s="17">
        <f t="shared" si="0"/>
        <v>16.933333333333334</v>
      </c>
    </row>
    <row r="13" spans="1:13" x14ac:dyDescent="0.3">
      <c r="A13" s="11" t="s">
        <v>17</v>
      </c>
      <c r="B13" s="11" t="s">
        <v>17</v>
      </c>
      <c r="C13" s="11" t="s">
        <v>17</v>
      </c>
      <c r="D13" s="11" t="s">
        <v>17</v>
      </c>
      <c r="E13" s="11" t="s">
        <v>17</v>
      </c>
      <c r="F13" s="11" t="s">
        <v>17</v>
      </c>
      <c r="G13" s="11" t="s">
        <v>17</v>
      </c>
      <c r="H13" s="11" t="s">
        <v>17</v>
      </c>
      <c r="I13" s="11" t="s">
        <v>17</v>
      </c>
      <c r="J13" s="11" t="s">
        <v>17</v>
      </c>
      <c r="K13" s="11" t="s">
        <v>17</v>
      </c>
      <c r="L13" s="11" t="s">
        <v>17</v>
      </c>
      <c r="M13" s="11" t="s">
        <v>17</v>
      </c>
    </row>
    <row r="14" spans="1:13" x14ac:dyDescent="0.3">
      <c r="A14" s="5">
        <v>5</v>
      </c>
      <c r="B14" s="5">
        <v>1</v>
      </c>
      <c r="C14" s="6">
        <v>2</v>
      </c>
      <c r="D14" s="6">
        <v>6</v>
      </c>
      <c r="E14" s="6">
        <v>6</v>
      </c>
      <c r="F14" s="6">
        <v>89</v>
      </c>
      <c r="G14" s="6">
        <v>1</v>
      </c>
      <c r="H14" s="6">
        <v>0</v>
      </c>
      <c r="I14" s="6">
        <v>0.73</v>
      </c>
      <c r="J14" s="6">
        <v>24.2</v>
      </c>
      <c r="K14" s="6">
        <v>18.3</v>
      </c>
      <c r="L14" s="7">
        <v>14.6</v>
      </c>
      <c r="M14" s="17">
        <f t="shared" si="0"/>
        <v>19.033333333333335</v>
      </c>
    </row>
    <row r="15" spans="1:13" x14ac:dyDescent="0.3">
      <c r="A15" s="5">
        <v>6</v>
      </c>
      <c r="B15" s="5">
        <v>1</v>
      </c>
      <c r="C15" s="6">
        <v>10</v>
      </c>
      <c r="D15" s="6">
        <v>5.5</v>
      </c>
      <c r="E15" s="6">
        <v>6</v>
      </c>
      <c r="F15" s="6">
        <v>87</v>
      </c>
      <c r="G15" s="6">
        <v>2</v>
      </c>
      <c r="H15" s="6">
        <v>7</v>
      </c>
      <c r="I15" s="6">
        <v>0.74</v>
      </c>
      <c r="J15" s="6">
        <v>17.8</v>
      </c>
      <c r="K15" s="6">
        <v>20</v>
      </c>
      <c r="L15" s="6">
        <v>16.5</v>
      </c>
      <c r="M15" s="17">
        <f t="shared" si="0"/>
        <v>18.099999999999998</v>
      </c>
    </row>
    <row r="16" spans="1:13" x14ac:dyDescent="0.3">
      <c r="A16" s="5">
        <v>7</v>
      </c>
      <c r="B16" s="5">
        <v>1</v>
      </c>
      <c r="C16" s="6">
        <v>4</v>
      </c>
      <c r="D16" s="6">
        <v>5</v>
      </c>
      <c r="E16" s="6">
        <v>5</v>
      </c>
      <c r="F16" s="6">
        <v>82</v>
      </c>
      <c r="G16" s="6">
        <v>2</v>
      </c>
      <c r="H16" s="6">
        <v>14</v>
      </c>
      <c r="I16" s="6">
        <v>0.72</v>
      </c>
      <c r="J16" s="7">
        <v>16.2</v>
      </c>
      <c r="K16" s="6">
        <v>17.3</v>
      </c>
      <c r="L16" s="6">
        <v>17.7</v>
      </c>
      <c r="M16" s="17">
        <f t="shared" si="0"/>
        <v>17.066666666666666</v>
      </c>
    </row>
    <row r="17" spans="1:13" x14ac:dyDescent="0.3">
      <c r="A17" s="5">
        <v>8</v>
      </c>
      <c r="B17" s="5">
        <v>1</v>
      </c>
      <c r="C17" s="6">
        <v>5</v>
      </c>
      <c r="D17" s="6">
        <v>5.5</v>
      </c>
      <c r="E17" s="6">
        <v>5.5</v>
      </c>
      <c r="F17" s="6">
        <v>85</v>
      </c>
      <c r="G17" s="6">
        <v>1</v>
      </c>
      <c r="H17" s="6">
        <v>0</v>
      </c>
      <c r="I17" s="6">
        <v>0.72</v>
      </c>
      <c r="J17" s="6">
        <v>16.3</v>
      </c>
      <c r="K17" s="6">
        <v>17.2</v>
      </c>
      <c r="L17" s="6">
        <v>18.3</v>
      </c>
      <c r="M17" s="17">
        <f t="shared" si="0"/>
        <v>17.266666666666666</v>
      </c>
    </row>
    <row r="18" spans="1:13" x14ac:dyDescent="0.3">
      <c r="A18" s="5">
        <v>9</v>
      </c>
      <c r="B18" s="5">
        <v>1</v>
      </c>
      <c r="C18" s="6">
        <v>11</v>
      </c>
      <c r="D18" s="6">
        <v>6</v>
      </c>
      <c r="E18" s="6">
        <v>5.5</v>
      </c>
      <c r="F18" s="6">
        <v>85</v>
      </c>
      <c r="G18" s="6">
        <v>2</v>
      </c>
      <c r="H18" s="6">
        <v>15</v>
      </c>
      <c r="I18" s="6">
        <v>0.71</v>
      </c>
      <c r="J18" s="6">
        <v>16.3</v>
      </c>
      <c r="K18" s="6">
        <v>14.3</v>
      </c>
      <c r="L18" s="6">
        <v>16.100000000000001</v>
      </c>
      <c r="M18" s="17">
        <f t="shared" si="0"/>
        <v>15.566666666666668</v>
      </c>
    </row>
    <row r="19" spans="1:13" x14ac:dyDescent="0.3">
      <c r="A19" s="5">
        <v>10</v>
      </c>
      <c r="B19" s="5">
        <v>1</v>
      </c>
      <c r="C19" s="6">
        <v>1</v>
      </c>
      <c r="D19" s="6">
        <v>5.5</v>
      </c>
      <c r="E19" s="6">
        <v>5</v>
      </c>
      <c r="F19" s="6">
        <v>84</v>
      </c>
      <c r="G19" s="6">
        <v>2</v>
      </c>
      <c r="H19" s="6">
        <v>14</v>
      </c>
      <c r="I19" s="6">
        <v>0.72</v>
      </c>
      <c r="J19" s="6">
        <v>12.3</v>
      </c>
      <c r="K19" s="6">
        <v>12.5</v>
      </c>
      <c r="L19" s="6">
        <v>12.2</v>
      </c>
      <c r="M19" s="17">
        <f t="shared" si="0"/>
        <v>12.333333333333334</v>
      </c>
    </row>
    <row r="20" spans="1:13" x14ac:dyDescent="0.3">
      <c r="A20" s="5">
        <v>11</v>
      </c>
      <c r="B20" s="5">
        <v>1</v>
      </c>
      <c r="C20" s="6">
        <v>6</v>
      </c>
      <c r="D20" s="6">
        <v>6</v>
      </c>
      <c r="E20" s="6">
        <v>6</v>
      </c>
      <c r="F20" s="6">
        <v>86</v>
      </c>
      <c r="G20" s="6">
        <v>1</v>
      </c>
      <c r="H20" s="6">
        <v>0</v>
      </c>
      <c r="I20" s="6">
        <v>0.73</v>
      </c>
      <c r="J20" s="6">
        <v>13.2</v>
      </c>
      <c r="K20" s="6">
        <v>11.5</v>
      </c>
      <c r="L20" s="6">
        <v>9.4</v>
      </c>
      <c r="M20" s="17">
        <f t="shared" si="0"/>
        <v>11.366666666666667</v>
      </c>
    </row>
    <row r="21" spans="1:13" x14ac:dyDescent="0.3">
      <c r="A21" s="8">
        <v>12</v>
      </c>
      <c r="B21" s="8">
        <v>2</v>
      </c>
      <c r="C21" s="9">
        <v>1</v>
      </c>
      <c r="D21" s="9">
        <v>6</v>
      </c>
      <c r="E21" s="9">
        <v>6</v>
      </c>
      <c r="F21" s="9">
        <v>84</v>
      </c>
      <c r="G21" s="9">
        <v>1</v>
      </c>
      <c r="H21" s="9">
        <v>0</v>
      </c>
      <c r="I21" s="9">
        <v>75</v>
      </c>
      <c r="J21" s="9">
        <v>18.2</v>
      </c>
      <c r="K21" s="9">
        <v>15.5</v>
      </c>
      <c r="L21" s="9">
        <v>15.4</v>
      </c>
      <c r="M21" s="19">
        <f t="shared" si="0"/>
        <v>16.366666666666667</v>
      </c>
    </row>
    <row r="22" spans="1:13" x14ac:dyDescent="0.3">
      <c r="A22" s="8">
        <v>13</v>
      </c>
      <c r="B22" s="8">
        <v>2</v>
      </c>
      <c r="C22" s="9">
        <v>6</v>
      </c>
      <c r="D22" s="9">
        <v>6</v>
      </c>
      <c r="E22" s="9">
        <v>6</v>
      </c>
      <c r="F22" s="9">
        <v>82</v>
      </c>
      <c r="G22" s="9">
        <v>2</v>
      </c>
      <c r="H22" s="9">
        <v>13</v>
      </c>
      <c r="I22" s="9">
        <v>0.74</v>
      </c>
      <c r="J22" s="10" t="s">
        <v>38</v>
      </c>
      <c r="K22" s="9">
        <v>16</v>
      </c>
      <c r="L22" s="9">
        <v>16.5</v>
      </c>
      <c r="M22" s="19">
        <f t="shared" si="0"/>
        <v>16.25</v>
      </c>
    </row>
    <row r="23" spans="1:13" x14ac:dyDescent="0.3">
      <c r="A23" s="11" t="s">
        <v>17</v>
      </c>
      <c r="B23" s="11" t="s">
        <v>17</v>
      </c>
      <c r="C23" s="11" t="s">
        <v>17</v>
      </c>
      <c r="D23" s="11" t="s">
        <v>17</v>
      </c>
      <c r="E23" s="11" t="s">
        <v>17</v>
      </c>
      <c r="F23" s="11" t="s">
        <v>17</v>
      </c>
      <c r="G23" s="11" t="s">
        <v>17</v>
      </c>
      <c r="H23" s="11" t="s">
        <v>17</v>
      </c>
      <c r="I23" s="11" t="s">
        <v>17</v>
      </c>
      <c r="J23" s="11" t="s">
        <v>17</v>
      </c>
      <c r="K23" s="11" t="s">
        <v>17</v>
      </c>
      <c r="L23" s="11" t="s">
        <v>17</v>
      </c>
      <c r="M23" s="11" t="s">
        <v>17</v>
      </c>
    </row>
    <row r="24" spans="1:13" x14ac:dyDescent="0.3">
      <c r="A24" s="8">
        <v>14</v>
      </c>
      <c r="B24" s="8">
        <v>2</v>
      </c>
      <c r="C24" s="9">
        <v>10</v>
      </c>
      <c r="D24" s="9">
        <v>6</v>
      </c>
      <c r="E24" s="9">
        <v>6</v>
      </c>
      <c r="F24" s="9">
        <v>87</v>
      </c>
      <c r="G24" s="9">
        <v>1</v>
      </c>
      <c r="H24" s="9">
        <v>0</v>
      </c>
      <c r="I24" s="9">
        <v>0.75</v>
      </c>
      <c r="J24" s="9">
        <v>14.2</v>
      </c>
      <c r="K24" s="9">
        <v>13.6</v>
      </c>
      <c r="L24" s="9">
        <v>15</v>
      </c>
      <c r="M24" s="19">
        <f t="shared" si="0"/>
        <v>14.266666666666666</v>
      </c>
    </row>
    <row r="25" spans="1:13" x14ac:dyDescent="0.3">
      <c r="A25" s="8">
        <v>15</v>
      </c>
      <c r="B25" s="8">
        <v>2</v>
      </c>
      <c r="C25" s="9">
        <v>3</v>
      </c>
      <c r="D25" s="9">
        <v>5.5</v>
      </c>
      <c r="E25" s="9">
        <v>5.5</v>
      </c>
      <c r="F25" s="9">
        <v>85</v>
      </c>
      <c r="G25" s="9">
        <v>1</v>
      </c>
      <c r="H25" s="9">
        <v>0</v>
      </c>
      <c r="I25" s="9">
        <v>0.73</v>
      </c>
      <c r="J25" s="9">
        <v>16.3</v>
      </c>
      <c r="K25" s="9">
        <v>14.7</v>
      </c>
      <c r="L25" s="9">
        <v>12.4</v>
      </c>
      <c r="M25" s="19">
        <f t="shared" si="0"/>
        <v>14.466666666666667</v>
      </c>
    </row>
    <row r="26" spans="1:13" x14ac:dyDescent="0.3">
      <c r="A26" s="8">
        <v>16</v>
      </c>
      <c r="B26" s="8">
        <v>2</v>
      </c>
      <c r="C26" s="9">
        <v>4</v>
      </c>
      <c r="D26" s="9">
        <v>4.5</v>
      </c>
      <c r="E26" s="9">
        <v>4.5</v>
      </c>
      <c r="F26" s="9">
        <v>81</v>
      </c>
      <c r="G26" s="9">
        <v>1</v>
      </c>
      <c r="H26" s="9">
        <v>0</v>
      </c>
      <c r="I26" s="9">
        <v>0.7</v>
      </c>
      <c r="J26" s="9">
        <v>10.4</v>
      </c>
      <c r="K26" s="9">
        <v>8.5</v>
      </c>
      <c r="L26" s="9">
        <v>10.8</v>
      </c>
      <c r="M26" s="19">
        <f t="shared" si="0"/>
        <v>9.9</v>
      </c>
    </row>
    <row r="27" spans="1:13" x14ac:dyDescent="0.3">
      <c r="A27" s="8">
        <v>17</v>
      </c>
      <c r="B27" s="8">
        <v>2</v>
      </c>
      <c r="C27" s="9">
        <v>2</v>
      </c>
      <c r="D27" s="9">
        <v>6</v>
      </c>
      <c r="E27" s="9">
        <v>6</v>
      </c>
      <c r="F27" s="9">
        <v>88</v>
      </c>
      <c r="G27" s="9">
        <v>1</v>
      </c>
      <c r="H27" s="9">
        <v>0</v>
      </c>
      <c r="I27" s="9">
        <v>0.77</v>
      </c>
      <c r="J27" s="9">
        <v>19.399999999999999</v>
      </c>
      <c r="K27" s="9">
        <v>16.2</v>
      </c>
      <c r="L27" s="9">
        <v>18.3</v>
      </c>
      <c r="M27" s="19">
        <f t="shared" si="0"/>
        <v>17.966666666666665</v>
      </c>
    </row>
    <row r="28" spans="1:13" x14ac:dyDescent="0.3">
      <c r="A28" s="8">
        <v>18</v>
      </c>
      <c r="B28" s="8">
        <v>2</v>
      </c>
      <c r="C28" s="9">
        <v>11</v>
      </c>
      <c r="D28" s="9">
        <v>5.5</v>
      </c>
      <c r="E28" s="9">
        <v>6</v>
      </c>
      <c r="F28" s="9">
        <v>87</v>
      </c>
      <c r="G28" s="9">
        <v>1</v>
      </c>
      <c r="H28" s="9">
        <v>0</v>
      </c>
      <c r="I28" s="9">
        <v>0.77</v>
      </c>
      <c r="J28" s="9">
        <v>17.600000000000001</v>
      </c>
      <c r="K28" s="9">
        <v>15.4</v>
      </c>
      <c r="L28" s="9">
        <v>15.6</v>
      </c>
      <c r="M28" s="19">
        <f t="shared" si="0"/>
        <v>16.2</v>
      </c>
    </row>
    <row r="29" spans="1:13" x14ac:dyDescent="0.3">
      <c r="A29" s="8">
        <v>19</v>
      </c>
      <c r="B29" s="8">
        <v>2</v>
      </c>
      <c r="C29" s="9">
        <v>7</v>
      </c>
      <c r="D29" s="9">
        <v>6</v>
      </c>
      <c r="E29" s="9">
        <v>6</v>
      </c>
      <c r="F29" s="9">
        <v>86</v>
      </c>
      <c r="G29" s="9">
        <v>1</v>
      </c>
      <c r="H29" s="9">
        <v>0</v>
      </c>
      <c r="I29" s="9">
        <v>0.74</v>
      </c>
      <c r="J29" s="9">
        <v>15.6</v>
      </c>
      <c r="K29" s="9">
        <v>13.2</v>
      </c>
      <c r="L29" s="9">
        <v>12.7</v>
      </c>
      <c r="M29" s="19">
        <f t="shared" si="0"/>
        <v>13.833333333333334</v>
      </c>
    </row>
    <row r="30" spans="1:13" x14ac:dyDescent="0.3">
      <c r="A30" s="8">
        <v>20</v>
      </c>
      <c r="B30" s="8">
        <v>2</v>
      </c>
      <c r="C30" s="9">
        <v>9</v>
      </c>
      <c r="D30" s="10">
        <v>5</v>
      </c>
      <c r="E30" s="9">
        <v>5</v>
      </c>
      <c r="F30" s="9">
        <v>82</v>
      </c>
      <c r="G30" s="9">
        <v>2</v>
      </c>
      <c r="H30" s="9">
        <v>15</v>
      </c>
      <c r="I30" s="9">
        <v>0.7</v>
      </c>
      <c r="J30" s="9">
        <v>17.399999999999999</v>
      </c>
      <c r="K30" s="9">
        <v>16.3</v>
      </c>
      <c r="L30" s="9">
        <v>13.9</v>
      </c>
      <c r="M30" s="19">
        <f t="shared" si="0"/>
        <v>15.866666666666667</v>
      </c>
    </row>
    <row r="31" spans="1:13" x14ac:dyDescent="0.3">
      <c r="A31" s="8">
        <v>21</v>
      </c>
      <c r="B31" s="8">
        <v>2</v>
      </c>
      <c r="C31" s="9">
        <v>5</v>
      </c>
      <c r="D31" s="9">
        <v>4</v>
      </c>
      <c r="E31" s="9">
        <v>5</v>
      </c>
      <c r="F31" s="9">
        <v>80</v>
      </c>
      <c r="G31" s="9">
        <v>3</v>
      </c>
      <c r="H31" s="9">
        <v>21</v>
      </c>
      <c r="I31" s="9">
        <v>0.74</v>
      </c>
      <c r="J31" s="9">
        <v>13.2</v>
      </c>
      <c r="K31" s="9">
        <v>13.6</v>
      </c>
      <c r="L31" s="9">
        <v>13.9</v>
      </c>
      <c r="M31" s="19">
        <f t="shared" si="0"/>
        <v>13.566666666666665</v>
      </c>
    </row>
    <row r="32" spans="1:13" x14ac:dyDescent="0.3">
      <c r="A32" s="8">
        <v>22</v>
      </c>
      <c r="B32" s="8">
        <v>2</v>
      </c>
      <c r="C32" s="9">
        <v>8</v>
      </c>
      <c r="D32" s="9">
        <v>5.5</v>
      </c>
      <c r="E32" s="9">
        <v>6</v>
      </c>
      <c r="F32" s="9">
        <v>83</v>
      </c>
      <c r="G32" s="9">
        <v>1</v>
      </c>
      <c r="H32" s="9">
        <v>0</v>
      </c>
      <c r="I32" s="9">
        <v>0.74</v>
      </c>
      <c r="J32" s="9">
        <v>16.2</v>
      </c>
      <c r="K32" s="9">
        <v>14.3</v>
      </c>
      <c r="L32" s="9">
        <v>14</v>
      </c>
      <c r="M32" s="19">
        <f t="shared" si="0"/>
        <v>14.833333333333334</v>
      </c>
    </row>
    <row r="33" spans="1:13" x14ac:dyDescent="0.3">
      <c r="A33" s="5">
        <v>23</v>
      </c>
      <c r="B33" s="6">
        <v>3</v>
      </c>
      <c r="C33" s="6">
        <v>4</v>
      </c>
      <c r="D33" s="6">
        <v>6</v>
      </c>
      <c r="E33" s="6">
        <v>6</v>
      </c>
      <c r="F33" s="6">
        <v>84</v>
      </c>
      <c r="G33" s="6">
        <v>1</v>
      </c>
      <c r="H33" s="6">
        <v>0</v>
      </c>
      <c r="I33" s="6">
        <v>0.72</v>
      </c>
      <c r="J33" s="6">
        <v>17.5</v>
      </c>
      <c r="K33" s="6">
        <v>17.3</v>
      </c>
      <c r="L33" s="6">
        <v>15.4</v>
      </c>
      <c r="M33" s="17">
        <f t="shared" si="0"/>
        <v>16.733333333333331</v>
      </c>
    </row>
    <row r="34" spans="1:13" x14ac:dyDescent="0.3">
      <c r="A34" s="5">
        <v>24</v>
      </c>
      <c r="B34" s="6">
        <v>3</v>
      </c>
      <c r="C34" s="6">
        <v>1</v>
      </c>
      <c r="D34" s="6">
        <v>4</v>
      </c>
      <c r="E34" s="6">
        <v>5</v>
      </c>
      <c r="F34" s="6">
        <v>83</v>
      </c>
      <c r="G34" s="6">
        <v>2</v>
      </c>
      <c r="H34" s="6">
        <v>18</v>
      </c>
      <c r="I34" s="7">
        <v>0.75</v>
      </c>
      <c r="J34" s="6">
        <v>18</v>
      </c>
      <c r="K34" s="6">
        <v>12.6</v>
      </c>
      <c r="L34" s="6">
        <v>14.7</v>
      </c>
      <c r="M34" s="17">
        <f t="shared" si="0"/>
        <v>15.1</v>
      </c>
    </row>
    <row r="35" spans="1:13" x14ac:dyDescent="0.3">
      <c r="A35" s="5">
        <v>25</v>
      </c>
      <c r="B35" s="6">
        <v>3</v>
      </c>
      <c r="C35" s="6">
        <v>9</v>
      </c>
      <c r="D35" s="6">
        <v>4.5</v>
      </c>
      <c r="E35" s="6">
        <v>4.5</v>
      </c>
      <c r="F35" s="6">
        <v>80</v>
      </c>
      <c r="G35" s="6">
        <v>2</v>
      </c>
      <c r="H35" s="6">
        <v>16</v>
      </c>
      <c r="I35" s="6">
        <v>0.71</v>
      </c>
      <c r="J35" s="6">
        <v>15.6</v>
      </c>
      <c r="K35" s="6">
        <v>16.2</v>
      </c>
      <c r="L35" s="6">
        <v>14.3</v>
      </c>
      <c r="M35" s="17">
        <f t="shared" si="0"/>
        <v>15.366666666666665</v>
      </c>
    </row>
    <row r="36" spans="1:13" x14ac:dyDescent="0.3">
      <c r="A36" s="5">
        <v>26</v>
      </c>
      <c r="B36" s="6">
        <v>3</v>
      </c>
      <c r="C36" s="6">
        <v>2</v>
      </c>
      <c r="D36" s="6">
        <v>6</v>
      </c>
      <c r="E36" s="6">
        <v>6</v>
      </c>
      <c r="F36" s="6">
        <v>86</v>
      </c>
      <c r="G36" s="6">
        <v>2</v>
      </c>
      <c r="H36" s="6">
        <v>8</v>
      </c>
      <c r="I36" s="6">
        <v>0.78</v>
      </c>
      <c r="J36" s="6">
        <v>14.3</v>
      </c>
      <c r="K36" s="6">
        <v>16.8</v>
      </c>
      <c r="L36" s="6">
        <v>15.2</v>
      </c>
      <c r="M36" s="17">
        <f t="shared" si="0"/>
        <v>15.433333333333332</v>
      </c>
    </row>
    <row r="37" spans="1:13" x14ac:dyDescent="0.3">
      <c r="A37" s="5">
        <v>27</v>
      </c>
      <c r="B37" s="6">
        <v>3</v>
      </c>
      <c r="C37" s="6">
        <v>6</v>
      </c>
      <c r="D37" s="6">
        <v>4.5</v>
      </c>
      <c r="E37" s="6">
        <v>5</v>
      </c>
      <c r="F37" s="6">
        <v>84</v>
      </c>
      <c r="G37" s="6">
        <v>2</v>
      </c>
      <c r="H37" s="6">
        <v>11</v>
      </c>
      <c r="I37" s="6">
        <v>0.7</v>
      </c>
      <c r="J37" s="6">
        <v>15.1</v>
      </c>
      <c r="K37" s="6">
        <v>11.5</v>
      </c>
      <c r="L37" s="6">
        <v>12.9</v>
      </c>
      <c r="M37" s="17">
        <f t="shared" si="0"/>
        <v>13.166666666666666</v>
      </c>
    </row>
    <row r="38" spans="1:13" x14ac:dyDescent="0.3">
      <c r="A38" s="5">
        <v>28</v>
      </c>
      <c r="B38" s="6">
        <v>3</v>
      </c>
      <c r="C38" s="6">
        <v>11</v>
      </c>
      <c r="D38" s="6">
        <v>6</v>
      </c>
      <c r="E38" s="6">
        <v>5.5</v>
      </c>
      <c r="F38" s="6">
        <v>84</v>
      </c>
      <c r="G38" s="6">
        <v>1</v>
      </c>
      <c r="H38" s="6">
        <v>0</v>
      </c>
      <c r="I38" s="6">
        <v>0.74</v>
      </c>
      <c r="J38" s="6">
        <v>20.100000000000001</v>
      </c>
      <c r="K38" s="6">
        <v>17.399999999999999</v>
      </c>
      <c r="L38" s="6">
        <v>14.8</v>
      </c>
      <c r="M38" s="17">
        <f t="shared" si="0"/>
        <v>17.433333333333334</v>
      </c>
    </row>
    <row r="39" spans="1:13" x14ac:dyDescent="0.3">
      <c r="A39" s="5">
        <v>29</v>
      </c>
      <c r="B39" s="6">
        <v>3</v>
      </c>
      <c r="C39" s="6">
        <v>5</v>
      </c>
      <c r="D39" s="6">
        <v>6</v>
      </c>
      <c r="E39" s="6">
        <v>6</v>
      </c>
      <c r="F39" s="6">
        <v>89</v>
      </c>
      <c r="G39" s="6">
        <v>1</v>
      </c>
      <c r="H39" s="6">
        <v>0</v>
      </c>
      <c r="I39" s="6">
        <v>0.74</v>
      </c>
      <c r="J39" s="6">
        <v>20.100000000000001</v>
      </c>
      <c r="K39" s="6">
        <v>18.600000000000001</v>
      </c>
      <c r="L39" s="6">
        <v>15.6</v>
      </c>
      <c r="M39" s="17">
        <f t="shared" si="0"/>
        <v>18.100000000000001</v>
      </c>
    </row>
    <row r="40" spans="1:13" x14ac:dyDescent="0.3">
      <c r="A40" s="11" t="s">
        <v>17</v>
      </c>
      <c r="B40" s="11" t="s">
        <v>17</v>
      </c>
      <c r="C40" s="11" t="s">
        <v>17</v>
      </c>
      <c r="D40" s="11" t="s">
        <v>17</v>
      </c>
      <c r="E40" s="11" t="s">
        <v>17</v>
      </c>
      <c r="F40" s="11" t="s">
        <v>17</v>
      </c>
      <c r="G40" s="11" t="s">
        <v>17</v>
      </c>
      <c r="H40" s="11" t="s">
        <v>17</v>
      </c>
      <c r="I40" s="11" t="s">
        <v>17</v>
      </c>
      <c r="J40" s="11" t="s">
        <v>17</v>
      </c>
      <c r="K40" s="11" t="s">
        <v>17</v>
      </c>
      <c r="L40" s="11" t="s">
        <v>17</v>
      </c>
      <c r="M40" s="11" t="s">
        <v>17</v>
      </c>
    </row>
    <row r="41" spans="1:13" x14ac:dyDescent="0.3">
      <c r="A41" s="5">
        <v>30</v>
      </c>
      <c r="B41" s="6">
        <v>3</v>
      </c>
      <c r="C41" s="6">
        <v>8</v>
      </c>
      <c r="D41" s="6">
        <v>6</v>
      </c>
      <c r="E41" s="6">
        <v>6</v>
      </c>
      <c r="F41" s="6">
        <v>86</v>
      </c>
      <c r="G41" s="6">
        <v>1</v>
      </c>
      <c r="H41" s="6">
        <v>0</v>
      </c>
      <c r="I41" s="6">
        <v>0.75</v>
      </c>
      <c r="J41" s="6">
        <v>15.8</v>
      </c>
      <c r="K41" s="6">
        <v>15.7</v>
      </c>
      <c r="L41" s="6">
        <v>15.5</v>
      </c>
      <c r="M41" s="17">
        <f t="shared" si="0"/>
        <v>15.666666666666666</v>
      </c>
    </row>
    <row r="42" spans="1:13" x14ac:dyDescent="0.3">
      <c r="A42" s="5">
        <v>31</v>
      </c>
      <c r="B42" s="6">
        <v>3</v>
      </c>
      <c r="C42" s="6">
        <v>3</v>
      </c>
      <c r="D42" s="6">
        <v>5.5</v>
      </c>
      <c r="E42" s="6">
        <v>5.5</v>
      </c>
      <c r="F42" s="6">
        <v>84</v>
      </c>
      <c r="G42" s="6">
        <v>2</v>
      </c>
      <c r="H42" s="6">
        <v>13</v>
      </c>
      <c r="I42" s="6">
        <v>0.71</v>
      </c>
      <c r="J42" s="6">
        <v>15</v>
      </c>
      <c r="K42" s="6">
        <v>13.9</v>
      </c>
      <c r="L42" s="6">
        <v>16.5</v>
      </c>
      <c r="M42" s="17">
        <f t="shared" si="0"/>
        <v>15.133333333333333</v>
      </c>
    </row>
    <row r="43" spans="1:13" x14ac:dyDescent="0.3">
      <c r="A43" s="5">
        <v>32</v>
      </c>
      <c r="B43" s="6">
        <v>3</v>
      </c>
      <c r="C43" s="6">
        <v>7</v>
      </c>
      <c r="D43" s="6">
        <v>6</v>
      </c>
      <c r="E43" s="6">
        <v>6</v>
      </c>
      <c r="F43" s="6">
        <v>86</v>
      </c>
      <c r="G43" s="6">
        <v>1</v>
      </c>
      <c r="H43" s="6">
        <v>0</v>
      </c>
      <c r="I43" s="6">
        <v>0.75</v>
      </c>
      <c r="J43" s="6">
        <v>16.3</v>
      </c>
      <c r="K43" s="6">
        <v>16.100000000000001</v>
      </c>
      <c r="L43" s="7">
        <v>13.9</v>
      </c>
      <c r="M43" s="17">
        <f t="shared" si="0"/>
        <v>15.433333333333335</v>
      </c>
    </row>
    <row r="44" spans="1:13" x14ac:dyDescent="0.3">
      <c r="A44" s="5">
        <v>33</v>
      </c>
      <c r="B44" s="6">
        <v>3</v>
      </c>
      <c r="C44" s="6">
        <v>10</v>
      </c>
      <c r="D44" s="6">
        <v>5.5</v>
      </c>
      <c r="E44" s="6">
        <v>5.5</v>
      </c>
      <c r="F44" s="6">
        <v>85</v>
      </c>
      <c r="G44" s="6">
        <v>1</v>
      </c>
      <c r="H44" s="6">
        <v>0</v>
      </c>
      <c r="I44" s="6">
        <v>0.76</v>
      </c>
      <c r="J44" s="6">
        <v>14</v>
      </c>
      <c r="K44" s="6">
        <v>15.3</v>
      </c>
      <c r="L44" s="6">
        <v>13</v>
      </c>
      <c r="M44" s="17">
        <f t="shared" si="0"/>
        <v>14.1</v>
      </c>
    </row>
    <row r="45" spans="1:13" x14ac:dyDescent="0.3">
      <c r="A45" s="8">
        <v>34</v>
      </c>
      <c r="B45" s="9">
        <v>4</v>
      </c>
      <c r="C45" s="9">
        <v>7</v>
      </c>
      <c r="D45" s="10">
        <v>6</v>
      </c>
      <c r="E45" s="9">
        <v>6</v>
      </c>
      <c r="F45" s="9">
        <v>83</v>
      </c>
      <c r="G45" s="9">
        <v>1</v>
      </c>
      <c r="H45" s="9">
        <v>0</v>
      </c>
      <c r="I45" s="9">
        <v>0.75</v>
      </c>
      <c r="J45" s="9">
        <v>17.899999999999999</v>
      </c>
      <c r="K45" s="9">
        <v>16</v>
      </c>
      <c r="L45" s="9">
        <v>16.600000000000001</v>
      </c>
      <c r="M45" s="19">
        <f t="shared" si="0"/>
        <v>16.833333333333332</v>
      </c>
    </row>
    <row r="46" spans="1:13" x14ac:dyDescent="0.3">
      <c r="A46" s="8">
        <v>35</v>
      </c>
      <c r="B46" s="9">
        <v>4</v>
      </c>
      <c r="C46" s="9">
        <v>8</v>
      </c>
      <c r="D46" s="9">
        <v>4</v>
      </c>
      <c r="E46" s="9">
        <v>4.5</v>
      </c>
      <c r="F46" s="9">
        <v>78</v>
      </c>
      <c r="G46" s="9">
        <v>3</v>
      </c>
      <c r="H46" s="9">
        <v>24</v>
      </c>
      <c r="I46" s="9">
        <v>0.72</v>
      </c>
      <c r="J46" s="9">
        <v>16.3</v>
      </c>
      <c r="K46" s="9">
        <v>13.9</v>
      </c>
      <c r="L46" s="9">
        <v>12.5</v>
      </c>
      <c r="M46" s="19">
        <f t="shared" si="0"/>
        <v>14.233333333333334</v>
      </c>
    </row>
    <row r="47" spans="1:13" x14ac:dyDescent="0.3">
      <c r="A47" s="8">
        <v>36</v>
      </c>
      <c r="B47" s="9">
        <v>4</v>
      </c>
      <c r="C47" s="9">
        <v>11</v>
      </c>
      <c r="D47" s="9">
        <v>4.5</v>
      </c>
      <c r="E47" s="9">
        <v>4</v>
      </c>
      <c r="F47" s="9">
        <v>82</v>
      </c>
      <c r="G47" s="9">
        <v>2</v>
      </c>
      <c r="H47" s="9">
        <v>12</v>
      </c>
      <c r="I47" s="9">
        <v>0.74</v>
      </c>
      <c r="J47" s="9">
        <v>16</v>
      </c>
      <c r="K47" s="9">
        <v>15.2</v>
      </c>
      <c r="L47" s="9">
        <v>15.5</v>
      </c>
      <c r="M47" s="19">
        <f t="shared" si="0"/>
        <v>15.566666666666668</v>
      </c>
    </row>
    <row r="48" spans="1:13" x14ac:dyDescent="0.3">
      <c r="A48" s="8">
        <v>37</v>
      </c>
      <c r="B48" s="9">
        <v>4</v>
      </c>
      <c r="C48" s="9">
        <v>5</v>
      </c>
      <c r="D48" s="9">
        <v>5</v>
      </c>
      <c r="E48" s="9">
        <v>5.5</v>
      </c>
      <c r="F48" s="9">
        <v>86</v>
      </c>
      <c r="G48" s="9">
        <v>1</v>
      </c>
      <c r="H48" s="9">
        <v>0</v>
      </c>
      <c r="I48" s="9">
        <v>0.75</v>
      </c>
      <c r="J48" s="9">
        <v>18.3</v>
      </c>
      <c r="K48" s="9">
        <v>18.100000000000001</v>
      </c>
      <c r="L48" s="9">
        <v>14.4</v>
      </c>
      <c r="M48" s="19">
        <f t="shared" si="0"/>
        <v>16.933333333333334</v>
      </c>
    </row>
    <row r="49" spans="1:13" x14ac:dyDescent="0.3">
      <c r="A49" s="8">
        <v>38</v>
      </c>
      <c r="B49" s="9">
        <v>4</v>
      </c>
      <c r="C49" s="9">
        <v>9</v>
      </c>
      <c r="D49" s="9">
        <v>4</v>
      </c>
      <c r="E49" s="9">
        <v>4.5</v>
      </c>
      <c r="F49" s="9">
        <v>83</v>
      </c>
      <c r="G49" s="9">
        <v>2</v>
      </c>
      <c r="H49" s="9">
        <v>14</v>
      </c>
      <c r="I49" s="9">
        <v>0.73</v>
      </c>
      <c r="J49" s="9">
        <v>17.600000000000001</v>
      </c>
      <c r="K49" s="9">
        <v>15.3</v>
      </c>
      <c r="L49" s="9">
        <v>14.3</v>
      </c>
      <c r="M49" s="19">
        <f t="shared" si="0"/>
        <v>15.733333333333334</v>
      </c>
    </row>
    <row r="50" spans="1:13" x14ac:dyDescent="0.3">
      <c r="A50" s="11" t="s">
        <v>17</v>
      </c>
      <c r="B50" s="11" t="s">
        <v>17</v>
      </c>
      <c r="C50" s="11" t="s">
        <v>17</v>
      </c>
      <c r="D50" s="11" t="s">
        <v>17</v>
      </c>
      <c r="E50" s="11" t="s">
        <v>17</v>
      </c>
      <c r="F50" s="11" t="s">
        <v>17</v>
      </c>
      <c r="G50" s="11" t="s">
        <v>17</v>
      </c>
      <c r="H50" s="11" t="s">
        <v>17</v>
      </c>
      <c r="I50" s="11" t="s">
        <v>17</v>
      </c>
      <c r="J50" s="11" t="s">
        <v>17</v>
      </c>
      <c r="K50" s="11" t="s">
        <v>17</v>
      </c>
      <c r="L50" s="11" t="s">
        <v>17</v>
      </c>
      <c r="M50" s="11" t="s">
        <v>17</v>
      </c>
    </row>
    <row r="51" spans="1:13" x14ac:dyDescent="0.3">
      <c r="A51" s="8">
        <v>39</v>
      </c>
      <c r="B51" s="9">
        <v>4</v>
      </c>
      <c r="C51" s="9">
        <v>6</v>
      </c>
      <c r="D51" s="9">
        <v>6</v>
      </c>
      <c r="E51" s="9">
        <v>6</v>
      </c>
      <c r="F51" s="9">
        <v>83</v>
      </c>
      <c r="G51" s="9">
        <v>2</v>
      </c>
      <c r="H51" s="9">
        <v>8</v>
      </c>
      <c r="I51" s="9">
        <v>0.76</v>
      </c>
      <c r="J51" s="9">
        <v>16.2</v>
      </c>
      <c r="K51" s="9">
        <v>15.8</v>
      </c>
      <c r="L51" s="9">
        <v>14.7</v>
      </c>
      <c r="M51" s="19">
        <f t="shared" si="0"/>
        <v>15.566666666666668</v>
      </c>
    </row>
    <row r="52" spans="1:13" x14ac:dyDescent="0.3">
      <c r="A52" s="8">
        <v>40</v>
      </c>
      <c r="B52" s="9">
        <v>4</v>
      </c>
      <c r="C52" s="9">
        <v>2</v>
      </c>
      <c r="D52" s="9">
        <v>5</v>
      </c>
      <c r="E52" s="10">
        <v>5.5</v>
      </c>
      <c r="F52" s="9">
        <v>83</v>
      </c>
      <c r="G52" s="9">
        <v>2</v>
      </c>
      <c r="H52" s="9">
        <v>12</v>
      </c>
      <c r="I52" s="9">
        <v>0.73</v>
      </c>
      <c r="J52" s="10">
        <v>17.5</v>
      </c>
      <c r="K52" s="10">
        <v>12.3</v>
      </c>
      <c r="L52" s="9">
        <v>13.5</v>
      </c>
      <c r="M52" s="19">
        <f t="shared" si="0"/>
        <v>14.433333333333332</v>
      </c>
    </row>
    <row r="53" spans="1:13" x14ac:dyDescent="0.3">
      <c r="A53" s="8">
        <v>41</v>
      </c>
      <c r="B53" s="9">
        <v>4</v>
      </c>
      <c r="C53" s="9">
        <v>10</v>
      </c>
      <c r="D53" s="9">
        <v>5.5</v>
      </c>
      <c r="E53" s="9">
        <v>5.5</v>
      </c>
      <c r="F53" s="9">
        <v>85</v>
      </c>
      <c r="G53" s="9">
        <v>1</v>
      </c>
      <c r="H53" s="9">
        <v>0</v>
      </c>
      <c r="I53" s="9">
        <v>0.78</v>
      </c>
      <c r="J53" s="9">
        <v>18.600000000000001</v>
      </c>
      <c r="K53" s="9">
        <v>13.6</v>
      </c>
      <c r="L53" s="9">
        <v>15</v>
      </c>
      <c r="M53" s="19">
        <f t="shared" si="0"/>
        <v>15.733333333333334</v>
      </c>
    </row>
    <row r="54" spans="1:13" x14ac:dyDescent="0.3">
      <c r="A54" s="8">
        <v>42</v>
      </c>
      <c r="B54" s="9">
        <v>4</v>
      </c>
      <c r="C54" s="9">
        <v>1</v>
      </c>
      <c r="D54" s="9">
        <v>5.5</v>
      </c>
      <c r="E54" s="9">
        <v>5.5</v>
      </c>
      <c r="F54" s="9">
        <v>84</v>
      </c>
      <c r="G54" s="9">
        <v>2</v>
      </c>
      <c r="H54" s="9">
        <v>11</v>
      </c>
      <c r="I54" s="9">
        <v>0.71</v>
      </c>
      <c r="J54" s="9">
        <v>17.600000000000001</v>
      </c>
      <c r="K54" s="9">
        <v>15.2</v>
      </c>
      <c r="L54" s="9">
        <v>15.3</v>
      </c>
      <c r="M54" s="19">
        <f t="shared" si="0"/>
        <v>16.033333333333331</v>
      </c>
    </row>
    <row r="55" spans="1:13" x14ac:dyDescent="0.3">
      <c r="A55" s="8">
        <v>43</v>
      </c>
      <c r="B55" s="9">
        <v>4</v>
      </c>
      <c r="C55" s="9">
        <v>4</v>
      </c>
      <c r="D55" s="9">
        <v>5.5</v>
      </c>
      <c r="E55" s="9">
        <v>5.5</v>
      </c>
      <c r="F55" s="9">
        <v>86</v>
      </c>
      <c r="G55" s="9">
        <v>1</v>
      </c>
      <c r="H55" s="9">
        <v>0</v>
      </c>
      <c r="I55" s="9">
        <v>0.78</v>
      </c>
      <c r="J55" s="9">
        <v>15.2</v>
      </c>
      <c r="K55" s="9">
        <v>18.100000000000001</v>
      </c>
      <c r="L55" s="9">
        <v>14.6</v>
      </c>
      <c r="M55" s="19">
        <f t="shared" si="0"/>
        <v>15.966666666666667</v>
      </c>
    </row>
    <row r="56" spans="1:13" x14ac:dyDescent="0.3">
      <c r="A56" s="8">
        <v>44</v>
      </c>
      <c r="B56" s="9">
        <v>4</v>
      </c>
      <c r="C56" s="9">
        <v>3</v>
      </c>
      <c r="D56" s="9">
        <v>5.5</v>
      </c>
      <c r="E56" s="9">
        <v>5.5</v>
      </c>
      <c r="F56" s="9">
        <v>85</v>
      </c>
      <c r="G56" s="9">
        <v>1</v>
      </c>
      <c r="H56" s="9">
        <v>0</v>
      </c>
      <c r="I56" s="9">
        <v>0.75</v>
      </c>
      <c r="J56" s="9">
        <v>18.2</v>
      </c>
      <c r="K56" s="9">
        <v>16.3</v>
      </c>
      <c r="L56" s="9">
        <v>14.6</v>
      </c>
      <c r="M56" s="19">
        <f t="shared" si="0"/>
        <v>16.366666666666667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6"/>
  <sheetViews>
    <sheetView workbookViewId="0">
      <selection activeCell="F18" sqref="F18"/>
    </sheetView>
  </sheetViews>
  <sheetFormatPr defaultRowHeight="14.4" x14ac:dyDescent="0.3"/>
  <sheetData>
    <row r="1" spans="1:8" x14ac:dyDescent="0.3">
      <c r="A1" t="s">
        <v>7</v>
      </c>
      <c r="C1" t="s">
        <v>8</v>
      </c>
    </row>
    <row r="2" spans="1:8" x14ac:dyDescent="0.3">
      <c r="A2" s="1" t="s">
        <v>13</v>
      </c>
      <c r="B2" t="s">
        <v>39</v>
      </c>
    </row>
    <row r="3" spans="1:8" x14ac:dyDescent="0.3">
      <c r="A3" s="1" t="s">
        <v>12</v>
      </c>
      <c r="B3" t="s">
        <v>24</v>
      </c>
    </row>
    <row r="4" spans="1:8" x14ac:dyDescent="0.3">
      <c r="A4" s="1" t="s">
        <v>11</v>
      </c>
      <c r="B4" t="s">
        <v>25</v>
      </c>
    </row>
    <row r="5" spans="1:8" x14ac:dyDescent="0.3">
      <c r="A5" t="s">
        <v>6</v>
      </c>
      <c r="B5" t="s">
        <v>40</v>
      </c>
    </row>
    <row r="6" spans="1:8" x14ac:dyDescent="0.3">
      <c r="A6" s="1" t="s">
        <v>0</v>
      </c>
    </row>
    <row r="7" spans="1:8" ht="15" thickBot="1" x14ac:dyDescent="0.35">
      <c r="A7" s="1"/>
    </row>
    <row r="8" spans="1:8" ht="15" thickBot="1" x14ac:dyDescent="0.35">
      <c r="A8" s="2" t="s">
        <v>1</v>
      </c>
      <c r="B8" s="3" t="s">
        <v>2</v>
      </c>
      <c r="C8" s="4" t="s">
        <v>3</v>
      </c>
      <c r="D8" s="2" t="s">
        <v>4</v>
      </c>
      <c r="E8" s="3" t="s">
        <v>5</v>
      </c>
      <c r="F8" s="3" t="s">
        <v>16</v>
      </c>
      <c r="G8" s="3" t="s">
        <v>14</v>
      </c>
      <c r="H8" s="3" t="s">
        <v>15</v>
      </c>
    </row>
    <row r="9" spans="1:8" x14ac:dyDescent="0.3">
      <c r="A9" s="5">
        <v>1</v>
      </c>
      <c r="B9" s="5">
        <v>1</v>
      </c>
      <c r="C9" s="5">
        <v>8</v>
      </c>
      <c r="D9" s="6">
        <v>3</v>
      </c>
      <c r="E9" s="6">
        <v>3.5</v>
      </c>
      <c r="F9" s="6">
        <v>68</v>
      </c>
      <c r="G9" s="6">
        <v>3</v>
      </c>
      <c r="H9" s="6">
        <v>41</v>
      </c>
    </row>
    <row r="10" spans="1:8" x14ac:dyDescent="0.3">
      <c r="A10" s="5">
        <v>2</v>
      </c>
      <c r="B10" s="5">
        <v>1</v>
      </c>
      <c r="C10" s="6">
        <v>9</v>
      </c>
      <c r="D10" s="6">
        <v>3</v>
      </c>
      <c r="E10" s="6">
        <v>3</v>
      </c>
      <c r="F10" s="6">
        <v>66</v>
      </c>
      <c r="G10" s="6">
        <v>3</v>
      </c>
      <c r="H10" s="6">
        <v>35</v>
      </c>
    </row>
    <row r="11" spans="1:8" x14ac:dyDescent="0.3">
      <c r="A11" s="5">
        <v>3</v>
      </c>
      <c r="B11" s="5">
        <v>1</v>
      </c>
      <c r="C11" s="6">
        <v>7</v>
      </c>
      <c r="D11" s="6">
        <v>2.5</v>
      </c>
      <c r="E11" s="6">
        <v>3</v>
      </c>
      <c r="F11" s="6">
        <v>61</v>
      </c>
      <c r="G11" s="6">
        <v>3</v>
      </c>
      <c r="H11" s="6">
        <v>46</v>
      </c>
    </row>
    <row r="12" spans="1:8" x14ac:dyDescent="0.3">
      <c r="A12" s="5">
        <v>4</v>
      </c>
      <c r="B12" s="5">
        <v>1</v>
      </c>
      <c r="C12" s="6">
        <v>3</v>
      </c>
      <c r="D12" s="6">
        <v>3</v>
      </c>
      <c r="E12" s="6">
        <v>3</v>
      </c>
      <c r="F12" s="6">
        <v>58</v>
      </c>
      <c r="G12" s="6">
        <v>3</v>
      </c>
      <c r="H12" s="6">
        <v>51</v>
      </c>
    </row>
    <row r="13" spans="1:8" x14ac:dyDescent="0.3">
      <c r="A13" s="11" t="s">
        <v>17</v>
      </c>
      <c r="B13" s="11" t="s">
        <v>17</v>
      </c>
      <c r="C13" s="11" t="s">
        <v>17</v>
      </c>
      <c r="D13" s="11" t="s">
        <v>17</v>
      </c>
      <c r="E13" s="11" t="s">
        <v>17</v>
      </c>
      <c r="F13" s="11" t="s">
        <v>17</v>
      </c>
      <c r="G13" s="11" t="s">
        <v>17</v>
      </c>
      <c r="H13" s="11" t="s">
        <v>17</v>
      </c>
    </row>
    <row r="14" spans="1:8" x14ac:dyDescent="0.3">
      <c r="A14" s="5">
        <v>5</v>
      </c>
      <c r="B14" s="5">
        <v>1</v>
      </c>
      <c r="C14" s="6">
        <v>2</v>
      </c>
      <c r="D14" s="6">
        <v>4</v>
      </c>
      <c r="E14" s="6">
        <v>4.5</v>
      </c>
      <c r="F14" s="6">
        <v>78</v>
      </c>
      <c r="G14" s="6">
        <v>2</v>
      </c>
      <c r="H14" s="6">
        <v>28</v>
      </c>
    </row>
    <row r="15" spans="1:8" x14ac:dyDescent="0.3">
      <c r="A15" s="5">
        <v>6</v>
      </c>
      <c r="B15" s="5">
        <v>1</v>
      </c>
      <c r="C15" s="6">
        <v>10</v>
      </c>
      <c r="D15" s="6">
        <v>3.5</v>
      </c>
      <c r="E15" s="6">
        <v>4</v>
      </c>
      <c r="F15" s="6">
        <v>79</v>
      </c>
      <c r="G15" s="6">
        <v>2</v>
      </c>
      <c r="H15" s="6">
        <v>24</v>
      </c>
    </row>
    <row r="16" spans="1:8" x14ac:dyDescent="0.3">
      <c r="A16" s="5">
        <v>7</v>
      </c>
      <c r="B16" s="5">
        <v>1</v>
      </c>
      <c r="C16" s="6">
        <v>4</v>
      </c>
      <c r="D16" s="6">
        <v>3.5</v>
      </c>
      <c r="E16" s="6">
        <v>4</v>
      </c>
      <c r="F16" s="6">
        <v>61</v>
      </c>
      <c r="G16" s="6">
        <v>3</v>
      </c>
      <c r="H16" s="6">
        <v>40</v>
      </c>
    </row>
    <row r="17" spans="1:8" x14ac:dyDescent="0.3">
      <c r="A17" s="5">
        <v>8</v>
      </c>
      <c r="B17" s="5">
        <v>1</v>
      </c>
      <c r="C17" s="6">
        <v>5</v>
      </c>
      <c r="D17" s="6">
        <v>4</v>
      </c>
      <c r="E17" s="6">
        <v>4.5</v>
      </c>
      <c r="F17" s="6">
        <v>81</v>
      </c>
      <c r="G17" s="6">
        <v>2</v>
      </c>
      <c r="H17" s="6">
        <v>21</v>
      </c>
    </row>
    <row r="18" spans="1:8" x14ac:dyDescent="0.3">
      <c r="A18" s="5">
        <v>9</v>
      </c>
      <c r="B18" s="5">
        <v>1</v>
      </c>
      <c r="C18" s="6">
        <v>11</v>
      </c>
      <c r="D18" s="6">
        <v>2</v>
      </c>
      <c r="E18" s="6">
        <v>1.5</v>
      </c>
      <c r="F18" s="6">
        <v>32</v>
      </c>
      <c r="G18" s="6">
        <v>4</v>
      </c>
      <c r="H18" s="6">
        <v>85</v>
      </c>
    </row>
    <row r="19" spans="1:8" x14ac:dyDescent="0.3">
      <c r="A19" s="5">
        <v>10</v>
      </c>
      <c r="B19" s="5">
        <v>1</v>
      </c>
      <c r="C19" s="6">
        <v>1</v>
      </c>
      <c r="D19" s="6">
        <v>4</v>
      </c>
      <c r="E19" s="6">
        <v>4.5</v>
      </c>
      <c r="F19" s="6">
        <v>83</v>
      </c>
      <c r="G19" s="6">
        <v>2</v>
      </c>
      <c r="H19" s="6">
        <v>19</v>
      </c>
    </row>
    <row r="20" spans="1:8" x14ac:dyDescent="0.3">
      <c r="A20" s="5">
        <v>11</v>
      </c>
      <c r="B20" s="5">
        <v>1</v>
      </c>
      <c r="C20" s="6">
        <v>6</v>
      </c>
      <c r="D20" s="6">
        <v>4.5</v>
      </c>
      <c r="E20" s="6">
        <v>4.5</v>
      </c>
      <c r="F20" s="6">
        <v>81</v>
      </c>
      <c r="G20" s="6">
        <v>2</v>
      </c>
      <c r="H20" s="6">
        <v>17</v>
      </c>
    </row>
    <row r="21" spans="1:8" x14ac:dyDescent="0.3">
      <c r="A21" s="8">
        <v>12</v>
      </c>
      <c r="B21" s="8">
        <v>2</v>
      </c>
      <c r="C21" s="9">
        <v>1</v>
      </c>
      <c r="D21" s="9">
        <v>4</v>
      </c>
      <c r="E21" s="9">
        <v>4</v>
      </c>
      <c r="F21" s="9">
        <v>80</v>
      </c>
      <c r="G21" s="9">
        <v>2</v>
      </c>
      <c r="H21" s="9">
        <v>27</v>
      </c>
    </row>
    <row r="22" spans="1:8" x14ac:dyDescent="0.3">
      <c r="A22" s="8">
        <v>13</v>
      </c>
      <c r="B22" s="8">
        <v>2</v>
      </c>
      <c r="C22" s="9">
        <v>6</v>
      </c>
      <c r="D22" s="9">
        <v>4</v>
      </c>
      <c r="E22" s="9">
        <v>4</v>
      </c>
      <c r="F22" s="9">
        <v>78</v>
      </c>
      <c r="G22" s="9">
        <v>2</v>
      </c>
      <c r="H22" s="9">
        <v>24</v>
      </c>
    </row>
    <row r="23" spans="1:8" x14ac:dyDescent="0.3">
      <c r="A23" s="11" t="s">
        <v>17</v>
      </c>
      <c r="B23" s="11" t="s">
        <v>17</v>
      </c>
      <c r="C23" s="11" t="s">
        <v>17</v>
      </c>
      <c r="D23" s="11" t="s">
        <v>17</v>
      </c>
      <c r="E23" s="11" t="s">
        <v>17</v>
      </c>
      <c r="F23" s="11" t="s">
        <v>17</v>
      </c>
      <c r="G23" s="11" t="s">
        <v>17</v>
      </c>
      <c r="H23" s="11" t="s">
        <v>17</v>
      </c>
    </row>
    <row r="24" spans="1:8" x14ac:dyDescent="0.3">
      <c r="A24" s="8">
        <v>14</v>
      </c>
      <c r="B24" s="8">
        <v>2</v>
      </c>
      <c r="C24" s="9">
        <v>10</v>
      </c>
      <c r="D24" s="9">
        <v>4.5</v>
      </c>
      <c r="E24" s="9">
        <v>4.5</v>
      </c>
      <c r="F24" s="9">
        <v>82</v>
      </c>
      <c r="G24" s="9">
        <v>2</v>
      </c>
      <c r="H24" s="9">
        <v>15</v>
      </c>
    </row>
    <row r="25" spans="1:8" x14ac:dyDescent="0.3">
      <c r="A25" s="8">
        <v>15</v>
      </c>
      <c r="B25" s="8">
        <v>2</v>
      </c>
      <c r="C25" s="9">
        <v>3</v>
      </c>
      <c r="D25" s="9">
        <v>4.5</v>
      </c>
      <c r="E25" s="9">
        <v>4.5</v>
      </c>
      <c r="F25" s="9">
        <v>85</v>
      </c>
      <c r="G25" s="9">
        <v>2</v>
      </c>
      <c r="H25" s="9">
        <v>11</v>
      </c>
    </row>
    <row r="26" spans="1:8" x14ac:dyDescent="0.3">
      <c r="A26" s="8">
        <v>16</v>
      </c>
      <c r="B26" s="8">
        <v>2</v>
      </c>
      <c r="C26" s="9">
        <v>4</v>
      </c>
      <c r="D26" s="9">
        <v>3.5</v>
      </c>
      <c r="E26" s="9">
        <v>3.5</v>
      </c>
      <c r="F26" s="9">
        <v>69</v>
      </c>
      <c r="G26" s="9">
        <v>3</v>
      </c>
      <c r="H26" s="9">
        <v>39</v>
      </c>
    </row>
    <row r="27" spans="1:8" x14ac:dyDescent="0.3">
      <c r="A27" s="8">
        <v>17</v>
      </c>
      <c r="B27" s="8">
        <v>2</v>
      </c>
      <c r="C27" s="9">
        <v>2</v>
      </c>
      <c r="D27" s="9">
        <v>4.5</v>
      </c>
      <c r="E27" s="9">
        <v>4.5</v>
      </c>
      <c r="F27" s="9">
        <v>84</v>
      </c>
      <c r="G27" s="9">
        <v>2</v>
      </c>
      <c r="H27" s="9">
        <v>22</v>
      </c>
    </row>
    <row r="28" spans="1:8" x14ac:dyDescent="0.3">
      <c r="A28" s="8">
        <v>18</v>
      </c>
      <c r="B28" s="8">
        <v>2</v>
      </c>
      <c r="C28" s="9">
        <v>11</v>
      </c>
      <c r="D28" s="9">
        <v>2.5</v>
      </c>
      <c r="E28" s="9">
        <v>2.5</v>
      </c>
      <c r="F28" s="9">
        <v>26</v>
      </c>
      <c r="G28" s="9">
        <v>4</v>
      </c>
      <c r="H28" s="9">
        <v>71</v>
      </c>
    </row>
    <row r="29" spans="1:8" x14ac:dyDescent="0.3">
      <c r="A29" s="8">
        <v>19</v>
      </c>
      <c r="B29" s="8">
        <v>2</v>
      </c>
      <c r="C29" s="9">
        <v>7</v>
      </c>
      <c r="D29" s="9">
        <v>4</v>
      </c>
      <c r="E29" s="9">
        <v>4</v>
      </c>
      <c r="F29" s="9">
        <v>68</v>
      </c>
      <c r="G29" s="9">
        <v>3</v>
      </c>
      <c r="H29" s="9">
        <v>38</v>
      </c>
    </row>
    <row r="30" spans="1:8" x14ac:dyDescent="0.3">
      <c r="A30" s="8">
        <v>20</v>
      </c>
      <c r="B30" s="8">
        <v>2</v>
      </c>
      <c r="C30" s="9">
        <v>9</v>
      </c>
      <c r="D30" s="10">
        <v>4</v>
      </c>
      <c r="E30" s="9">
        <v>4.5</v>
      </c>
      <c r="F30" s="9">
        <v>69</v>
      </c>
      <c r="G30" s="9">
        <v>3</v>
      </c>
      <c r="H30" s="9">
        <v>32</v>
      </c>
    </row>
    <row r="31" spans="1:8" x14ac:dyDescent="0.3">
      <c r="A31" s="8">
        <v>21</v>
      </c>
      <c r="B31" s="8">
        <v>2</v>
      </c>
      <c r="C31" s="9">
        <v>5</v>
      </c>
      <c r="D31" s="9">
        <v>3.5</v>
      </c>
      <c r="E31" s="9">
        <v>3.5</v>
      </c>
      <c r="F31" s="9">
        <v>66</v>
      </c>
      <c r="G31" s="9">
        <v>3</v>
      </c>
      <c r="H31" s="9">
        <v>26</v>
      </c>
    </row>
    <row r="32" spans="1:8" x14ac:dyDescent="0.3">
      <c r="A32" s="8">
        <v>22</v>
      </c>
      <c r="B32" s="8">
        <v>2</v>
      </c>
      <c r="C32" s="9">
        <v>8</v>
      </c>
      <c r="D32" s="9">
        <v>3.5</v>
      </c>
      <c r="E32" s="9">
        <v>4</v>
      </c>
      <c r="F32" s="9">
        <v>68</v>
      </c>
      <c r="G32" s="9">
        <v>3</v>
      </c>
      <c r="H32" s="9">
        <v>35</v>
      </c>
    </row>
    <row r="33" spans="1:8" x14ac:dyDescent="0.3">
      <c r="A33" s="5">
        <v>23</v>
      </c>
      <c r="B33" s="6">
        <v>3</v>
      </c>
      <c r="C33" s="6">
        <v>4</v>
      </c>
      <c r="D33" s="6">
        <v>4</v>
      </c>
      <c r="E33" s="6">
        <v>4.5</v>
      </c>
      <c r="F33" s="6">
        <v>75</v>
      </c>
      <c r="G33" s="6">
        <v>2</v>
      </c>
      <c r="H33" s="6">
        <v>26</v>
      </c>
    </row>
    <row r="34" spans="1:8" x14ac:dyDescent="0.3">
      <c r="A34" s="5">
        <v>24</v>
      </c>
      <c r="B34" s="6">
        <v>3</v>
      </c>
      <c r="C34" s="6">
        <v>1</v>
      </c>
      <c r="D34" s="6">
        <v>3.5</v>
      </c>
      <c r="E34" s="6">
        <v>4</v>
      </c>
      <c r="F34" s="6">
        <v>52</v>
      </c>
      <c r="G34" s="6">
        <v>3</v>
      </c>
      <c r="H34" s="6">
        <v>46</v>
      </c>
    </row>
    <row r="35" spans="1:8" x14ac:dyDescent="0.3">
      <c r="A35" s="5">
        <v>25</v>
      </c>
      <c r="B35" s="6">
        <v>3</v>
      </c>
      <c r="C35" s="6">
        <v>9</v>
      </c>
      <c r="D35" s="6">
        <v>4</v>
      </c>
      <c r="E35" s="6">
        <v>4</v>
      </c>
      <c r="F35" s="6">
        <v>68</v>
      </c>
      <c r="G35" s="6">
        <v>2</v>
      </c>
      <c r="H35" s="6">
        <v>27</v>
      </c>
    </row>
    <row r="36" spans="1:8" x14ac:dyDescent="0.3">
      <c r="A36" s="5">
        <v>26</v>
      </c>
      <c r="B36" s="6">
        <v>3</v>
      </c>
      <c r="C36" s="6">
        <v>2</v>
      </c>
      <c r="D36" s="6">
        <v>4.5</v>
      </c>
      <c r="E36" s="6">
        <v>4.5</v>
      </c>
      <c r="F36" s="6">
        <v>66</v>
      </c>
      <c r="G36" s="6">
        <v>2</v>
      </c>
      <c r="H36" s="6">
        <v>29</v>
      </c>
    </row>
    <row r="37" spans="1:8" x14ac:dyDescent="0.3">
      <c r="A37" s="5">
        <v>27</v>
      </c>
      <c r="B37" s="6">
        <v>3</v>
      </c>
      <c r="C37" s="6">
        <v>6</v>
      </c>
      <c r="D37" s="6">
        <v>3</v>
      </c>
      <c r="E37" s="6">
        <v>3.5</v>
      </c>
      <c r="F37" s="6">
        <v>69</v>
      </c>
      <c r="G37" s="6">
        <v>3</v>
      </c>
      <c r="H37" s="6">
        <v>34</v>
      </c>
    </row>
    <row r="38" spans="1:8" x14ac:dyDescent="0.3">
      <c r="A38" s="5">
        <v>28</v>
      </c>
      <c r="B38" s="6">
        <v>3</v>
      </c>
      <c r="C38" s="6">
        <v>11</v>
      </c>
      <c r="D38" s="6">
        <v>2.5</v>
      </c>
      <c r="E38" s="6">
        <v>2.5</v>
      </c>
      <c r="F38" s="6">
        <v>31</v>
      </c>
      <c r="G38" s="6">
        <v>4</v>
      </c>
      <c r="H38" s="6">
        <v>68</v>
      </c>
    </row>
    <row r="39" spans="1:8" x14ac:dyDescent="0.3">
      <c r="A39" s="5">
        <v>29</v>
      </c>
      <c r="B39" s="6">
        <v>3</v>
      </c>
      <c r="C39" s="6">
        <v>5</v>
      </c>
      <c r="D39" s="6">
        <v>4.5</v>
      </c>
      <c r="E39" s="6">
        <v>4.5</v>
      </c>
      <c r="F39" s="6">
        <v>82</v>
      </c>
      <c r="G39" s="6">
        <v>2</v>
      </c>
      <c r="H39" s="6">
        <v>16</v>
      </c>
    </row>
    <row r="40" spans="1:8" x14ac:dyDescent="0.3">
      <c r="A40" s="11" t="s">
        <v>17</v>
      </c>
      <c r="B40" s="11" t="s">
        <v>17</v>
      </c>
      <c r="C40" s="11" t="s">
        <v>17</v>
      </c>
      <c r="D40" s="11" t="s">
        <v>17</v>
      </c>
      <c r="E40" s="11" t="s">
        <v>17</v>
      </c>
      <c r="F40" s="11" t="s">
        <v>17</v>
      </c>
      <c r="G40" s="11" t="s">
        <v>17</v>
      </c>
      <c r="H40" s="11" t="s">
        <v>17</v>
      </c>
    </row>
    <row r="41" spans="1:8" x14ac:dyDescent="0.3">
      <c r="A41" s="5">
        <v>30</v>
      </c>
      <c r="B41" s="6">
        <v>3</v>
      </c>
      <c r="C41" s="6">
        <v>8</v>
      </c>
      <c r="D41" s="6">
        <v>4</v>
      </c>
      <c r="E41" s="6">
        <v>5</v>
      </c>
      <c r="F41" s="6">
        <v>85</v>
      </c>
      <c r="G41" s="6">
        <v>2</v>
      </c>
      <c r="H41" s="6">
        <v>14</v>
      </c>
    </row>
    <row r="42" spans="1:8" x14ac:dyDescent="0.3">
      <c r="A42" s="5">
        <v>31</v>
      </c>
      <c r="B42" s="6">
        <v>3</v>
      </c>
      <c r="C42" s="6">
        <v>3</v>
      </c>
      <c r="D42" s="6">
        <v>3.5</v>
      </c>
      <c r="E42" s="6">
        <v>4</v>
      </c>
      <c r="F42" s="6">
        <v>66</v>
      </c>
      <c r="G42" s="6">
        <v>3</v>
      </c>
      <c r="H42" s="6">
        <v>26</v>
      </c>
    </row>
    <row r="43" spans="1:8" x14ac:dyDescent="0.3">
      <c r="A43" s="5">
        <v>32</v>
      </c>
      <c r="B43" s="6">
        <v>3</v>
      </c>
      <c r="C43" s="6">
        <v>7</v>
      </c>
      <c r="D43" s="6">
        <v>4.5</v>
      </c>
      <c r="E43" s="6">
        <v>5</v>
      </c>
      <c r="F43" s="6">
        <v>81</v>
      </c>
      <c r="G43" s="6">
        <v>2</v>
      </c>
      <c r="H43" s="6">
        <v>14</v>
      </c>
    </row>
    <row r="44" spans="1:8" x14ac:dyDescent="0.3">
      <c r="A44" s="5">
        <v>33</v>
      </c>
      <c r="B44" s="6">
        <v>3</v>
      </c>
      <c r="C44" s="6">
        <v>10</v>
      </c>
      <c r="D44" s="6">
        <v>4</v>
      </c>
      <c r="E44" s="6">
        <v>4</v>
      </c>
      <c r="F44" s="6">
        <v>70</v>
      </c>
      <c r="G44" s="6">
        <v>3</v>
      </c>
      <c r="H44" s="6">
        <v>34</v>
      </c>
    </row>
    <row r="45" spans="1:8" x14ac:dyDescent="0.3">
      <c r="A45" s="8">
        <v>34</v>
      </c>
      <c r="B45" s="9">
        <v>4</v>
      </c>
      <c r="C45" s="9">
        <v>7</v>
      </c>
      <c r="D45" s="10">
        <v>4</v>
      </c>
      <c r="E45" s="9">
        <v>4</v>
      </c>
      <c r="F45" s="9">
        <v>79</v>
      </c>
      <c r="G45" s="9">
        <v>2</v>
      </c>
      <c r="H45" s="9">
        <v>16</v>
      </c>
    </row>
    <row r="46" spans="1:8" x14ac:dyDescent="0.3">
      <c r="A46" s="8">
        <v>35</v>
      </c>
      <c r="B46" s="9">
        <v>4</v>
      </c>
      <c r="C46" s="9">
        <v>8</v>
      </c>
      <c r="D46" s="9">
        <v>3</v>
      </c>
      <c r="E46" s="9">
        <v>3</v>
      </c>
      <c r="F46" s="9">
        <v>62</v>
      </c>
      <c r="G46" s="9">
        <v>3</v>
      </c>
      <c r="H46" s="9">
        <v>31</v>
      </c>
    </row>
    <row r="47" spans="1:8" x14ac:dyDescent="0.3">
      <c r="A47" s="8">
        <v>36</v>
      </c>
      <c r="B47" s="9">
        <v>4</v>
      </c>
      <c r="C47" s="9">
        <v>11</v>
      </c>
      <c r="D47" s="9">
        <v>2.5</v>
      </c>
      <c r="E47" s="9">
        <v>2.5</v>
      </c>
      <c r="F47" s="9">
        <v>51</v>
      </c>
      <c r="G47" s="9">
        <v>4</v>
      </c>
      <c r="H47" s="9">
        <v>49</v>
      </c>
    </row>
    <row r="48" spans="1:8" x14ac:dyDescent="0.3">
      <c r="A48" s="8">
        <v>37</v>
      </c>
      <c r="B48" s="9">
        <v>4</v>
      </c>
      <c r="C48" s="9">
        <v>5</v>
      </c>
      <c r="D48" s="9">
        <v>4.5</v>
      </c>
      <c r="E48" s="9">
        <v>4.5</v>
      </c>
      <c r="F48" s="9">
        <v>86</v>
      </c>
      <c r="G48" s="9">
        <v>2</v>
      </c>
      <c r="H48" s="9">
        <v>12</v>
      </c>
    </row>
    <row r="49" spans="1:8" x14ac:dyDescent="0.3">
      <c r="A49" s="8">
        <v>38</v>
      </c>
      <c r="B49" s="9">
        <v>4</v>
      </c>
      <c r="C49" s="9">
        <v>9</v>
      </c>
      <c r="D49" s="9">
        <v>4</v>
      </c>
      <c r="E49" s="9">
        <v>4</v>
      </c>
      <c r="F49" s="9">
        <v>78</v>
      </c>
      <c r="G49" s="9">
        <v>3</v>
      </c>
      <c r="H49" s="9">
        <v>28</v>
      </c>
    </row>
    <row r="50" spans="1:8" x14ac:dyDescent="0.3">
      <c r="A50" s="11" t="s">
        <v>17</v>
      </c>
      <c r="B50" s="11" t="s">
        <v>17</v>
      </c>
      <c r="C50" s="11" t="s">
        <v>17</v>
      </c>
      <c r="D50" s="11" t="s">
        <v>17</v>
      </c>
      <c r="E50" s="11" t="s">
        <v>17</v>
      </c>
      <c r="F50" s="11" t="s">
        <v>17</v>
      </c>
      <c r="G50" s="11" t="s">
        <v>17</v>
      </c>
      <c r="H50" s="11" t="s">
        <v>17</v>
      </c>
    </row>
    <row r="51" spans="1:8" x14ac:dyDescent="0.3">
      <c r="A51" s="8">
        <v>39</v>
      </c>
      <c r="B51" s="9">
        <v>4</v>
      </c>
      <c r="C51" s="9">
        <v>6</v>
      </c>
      <c r="D51" s="9">
        <v>4</v>
      </c>
      <c r="E51" s="9">
        <v>4</v>
      </c>
      <c r="F51" s="9">
        <v>83</v>
      </c>
      <c r="G51" s="9">
        <v>2</v>
      </c>
      <c r="H51" s="9">
        <v>13</v>
      </c>
    </row>
    <row r="52" spans="1:8" x14ac:dyDescent="0.3">
      <c r="A52" s="8">
        <v>40</v>
      </c>
      <c r="B52" s="9">
        <v>4</v>
      </c>
      <c r="C52" s="9">
        <v>2</v>
      </c>
      <c r="D52" s="9">
        <v>3</v>
      </c>
      <c r="E52" s="10">
        <v>4</v>
      </c>
      <c r="F52" s="9">
        <v>72</v>
      </c>
      <c r="G52" s="9">
        <v>3</v>
      </c>
      <c r="H52" s="9">
        <v>33</v>
      </c>
    </row>
    <row r="53" spans="1:8" x14ac:dyDescent="0.3">
      <c r="A53" s="8">
        <v>41</v>
      </c>
      <c r="B53" s="9">
        <v>4</v>
      </c>
      <c r="C53" s="9">
        <v>10</v>
      </c>
      <c r="D53" s="9">
        <v>3</v>
      </c>
      <c r="E53" s="9">
        <v>4</v>
      </c>
      <c r="F53" s="9">
        <v>71</v>
      </c>
      <c r="G53" s="9">
        <v>3</v>
      </c>
      <c r="H53" s="9">
        <v>32</v>
      </c>
    </row>
    <row r="54" spans="1:8" x14ac:dyDescent="0.3">
      <c r="A54" s="8">
        <v>42</v>
      </c>
      <c r="B54" s="9">
        <v>4</v>
      </c>
      <c r="C54" s="9">
        <v>1</v>
      </c>
      <c r="D54" s="9">
        <v>2.5</v>
      </c>
      <c r="E54" s="9">
        <v>3.5</v>
      </c>
      <c r="F54" s="9">
        <v>36</v>
      </c>
      <c r="G54" s="9">
        <v>4</v>
      </c>
      <c r="H54" s="9">
        <v>61</v>
      </c>
    </row>
    <row r="55" spans="1:8" x14ac:dyDescent="0.3">
      <c r="A55" s="8">
        <v>43</v>
      </c>
      <c r="B55" s="9">
        <v>4</v>
      </c>
      <c r="C55" s="9">
        <v>4</v>
      </c>
      <c r="D55" s="9">
        <v>3.5</v>
      </c>
      <c r="E55" s="9">
        <v>3.5</v>
      </c>
      <c r="F55" s="9">
        <v>68</v>
      </c>
      <c r="G55" s="9">
        <v>2</v>
      </c>
      <c r="H55" s="9">
        <v>27</v>
      </c>
    </row>
    <row r="56" spans="1:8" x14ac:dyDescent="0.3">
      <c r="A56" s="8">
        <v>44</v>
      </c>
      <c r="B56" s="9">
        <v>4</v>
      </c>
      <c r="C56" s="9">
        <v>3</v>
      </c>
      <c r="D56" s="9">
        <v>4</v>
      </c>
      <c r="E56" s="9">
        <v>4.5</v>
      </c>
      <c r="F56" s="9">
        <v>83</v>
      </c>
      <c r="G56" s="9">
        <v>2</v>
      </c>
      <c r="H56" s="9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6"/>
  <sheetViews>
    <sheetView zoomScale="80" zoomScaleNormal="80" workbookViewId="0">
      <selection activeCell="O10" sqref="O10"/>
    </sheetView>
  </sheetViews>
  <sheetFormatPr defaultRowHeight="14.4" x14ac:dyDescent="0.3"/>
  <sheetData>
    <row r="1" spans="1:13" x14ac:dyDescent="0.3">
      <c r="A1" t="s">
        <v>7</v>
      </c>
      <c r="C1" t="s">
        <v>8</v>
      </c>
    </row>
    <row r="2" spans="1:13" x14ac:dyDescent="0.3">
      <c r="A2" s="1" t="s">
        <v>13</v>
      </c>
      <c r="B2" t="s">
        <v>41</v>
      </c>
    </row>
    <row r="3" spans="1:13" x14ac:dyDescent="0.3">
      <c r="A3" s="1" t="s">
        <v>12</v>
      </c>
      <c r="B3" t="s">
        <v>24</v>
      </c>
    </row>
    <row r="4" spans="1:13" x14ac:dyDescent="0.3">
      <c r="A4" s="1" t="s">
        <v>11</v>
      </c>
      <c r="B4" t="s">
        <v>42</v>
      </c>
    </row>
    <row r="5" spans="1:13" x14ac:dyDescent="0.3">
      <c r="A5" t="s">
        <v>6</v>
      </c>
    </row>
    <row r="6" spans="1:13" ht="15" thickBot="1" x14ac:dyDescent="0.35">
      <c r="A6" s="1" t="s">
        <v>0</v>
      </c>
    </row>
    <row r="7" spans="1:13" ht="15" thickBot="1" x14ac:dyDescent="0.35">
      <c r="A7" s="1"/>
      <c r="J7" s="12"/>
      <c r="K7" s="13" t="s">
        <v>9</v>
      </c>
      <c r="L7" s="14"/>
      <c r="M7" s="15"/>
    </row>
    <row r="8" spans="1:13" ht="15" thickBot="1" x14ac:dyDescent="0.35">
      <c r="A8" s="2" t="s">
        <v>1</v>
      </c>
      <c r="B8" s="3" t="s">
        <v>2</v>
      </c>
      <c r="C8" s="4" t="s">
        <v>3</v>
      </c>
      <c r="D8" s="2" t="s">
        <v>4</v>
      </c>
      <c r="E8" s="3" t="s">
        <v>5</v>
      </c>
      <c r="F8" s="3" t="s">
        <v>16</v>
      </c>
      <c r="G8" s="3" t="s">
        <v>14</v>
      </c>
      <c r="H8" s="3" t="s">
        <v>15</v>
      </c>
      <c r="I8" s="3" t="s">
        <v>10</v>
      </c>
      <c r="J8" s="16" t="s">
        <v>18</v>
      </c>
      <c r="K8" s="16" t="s">
        <v>19</v>
      </c>
      <c r="L8" s="16" t="s">
        <v>20</v>
      </c>
      <c r="M8" s="16" t="s">
        <v>21</v>
      </c>
    </row>
    <row r="9" spans="1:13" x14ac:dyDescent="0.3">
      <c r="A9" s="5">
        <v>1</v>
      </c>
      <c r="B9" s="5">
        <v>1</v>
      </c>
      <c r="C9" s="5">
        <v>8</v>
      </c>
      <c r="D9" s="6">
        <v>3</v>
      </c>
      <c r="E9" s="6">
        <v>4</v>
      </c>
      <c r="F9" s="6">
        <v>68</v>
      </c>
      <c r="G9" s="6">
        <v>3</v>
      </c>
      <c r="H9" s="6">
        <v>38</v>
      </c>
      <c r="I9" s="6">
        <v>0.5</v>
      </c>
      <c r="J9" s="6">
        <v>9.6999999999999993</v>
      </c>
      <c r="K9" s="6">
        <v>9.4</v>
      </c>
      <c r="L9" s="6">
        <v>9.5</v>
      </c>
      <c r="M9" s="17">
        <f>AVERAGE(J9, K9, L9)</f>
        <v>9.5333333333333332</v>
      </c>
    </row>
    <row r="10" spans="1:13" x14ac:dyDescent="0.3">
      <c r="A10" s="5">
        <v>2</v>
      </c>
      <c r="B10" s="5">
        <v>1</v>
      </c>
      <c r="C10" s="6">
        <v>9</v>
      </c>
      <c r="D10" s="6">
        <v>4</v>
      </c>
      <c r="E10" s="6">
        <v>4.5</v>
      </c>
      <c r="F10" s="6">
        <v>64</v>
      </c>
      <c r="G10" s="6">
        <v>3</v>
      </c>
      <c r="H10" s="6">
        <v>39</v>
      </c>
      <c r="I10" s="6">
        <v>0.54</v>
      </c>
      <c r="J10" s="6">
        <v>15.8</v>
      </c>
      <c r="K10" s="6">
        <v>12.3</v>
      </c>
      <c r="L10" s="7">
        <v>10.3</v>
      </c>
      <c r="M10" s="17">
        <f t="shared" ref="M10:M56" si="0">AVERAGE(J10, K10, L10)</f>
        <v>12.800000000000002</v>
      </c>
    </row>
    <row r="11" spans="1:13" x14ac:dyDescent="0.3">
      <c r="A11" s="5">
        <v>3</v>
      </c>
      <c r="B11" s="5">
        <v>1</v>
      </c>
      <c r="C11" s="6">
        <v>7</v>
      </c>
      <c r="D11" s="6">
        <v>3</v>
      </c>
      <c r="E11" s="6">
        <v>4</v>
      </c>
      <c r="F11" s="6">
        <v>63</v>
      </c>
      <c r="G11" s="6">
        <v>3</v>
      </c>
      <c r="H11" s="6">
        <v>42</v>
      </c>
      <c r="I11" s="6">
        <v>0.54</v>
      </c>
      <c r="J11" s="6">
        <v>12.9</v>
      </c>
      <c r="K11" s="6">
        <v>12</v>
      </c>
      <c r="L11" s="6">
        <v>11.3</v>
      </c>
      <c r="M11" s="17">
        <f t="shared" si="0"/>
        <v>12.066666666666668</v>
      </c>
    </row>
    <row r="12" spans="1:13" x14ac:dyDescent="0.3">
      <c r="A12" s="5">
        <v>4</v>
      </c>
      <c r="B12" s="5">
        <v>1</v>
      </c>
      <c r="C12" s="6">
        <v>3</v>
      </c>
      <c r="D12" s="6">
        <v>3</v>
      </c>
      <c r="E12" s="6">
        <v>3</v>
      </c>
      <c r="F12" s="6">
        <v>61</v>
      </c>
      <c r="G12" s="6">
        <v>3</v>
      </c>
      <c r="H12" s="6">
        <v>45</v>
      </c>
      <c r="I12" s="6">
        <v>0.5</v>
      </c>
      <c r="J12" s="6">
        <v>11</v>
      </c>
      <c r="K12" s="6">
        <v>8.6</v>
      </c>
      <c r="L12" s="6">
        <v>8.6</v>
      </c>
      <c r="M12" s="17">
        <f t="shared" si="0"/>
        <v>9.4</v>
      </c>
    </row>
    <row r="13" spans="1:13" x14ac:dyDescent="0.3">
      <c r="A13" s="11" t="s">
        <v>17</v>
      </c>
      <c r="B13" s="11" t="s">
        <v>17</v>
      </c>
      <c r="C13" s="11" t="s">
        <v>17</v>
      </c>
      <c r="D13" s="11" t="s">
        <v>17</v>
      </c>
      <c r="E13" s="11" t="s">
        <v>17</v>
      </c>
      <c r="F13" s="11" t="s">
        <v>17</v>
      </c>
      <c r="G13" s="11" t="s">
        <v>17</v>
      </c>
      <c r="H13" s="11" t="s">
        <v>17</v>
      </c>
      <c r="I13" s="11" t="s">
        <v>17</v>
      </c>
      <c r="J13" s="11" t="s">
        <v>17</v>
      </c>
      <c r="K13" s="11" t="s">
        <v>17</v>
      </c>
      <c r="L13" s="11" t="s">
        <v>17</v>
      </c>
      <c r="M13" s="11" t="s">
        <v>17</v>
      </c>
    </row>
    <row r="14" spans="1:13" x14ac:dyDescent="0.3">
      <c r="A14" s="5">
        <v>5</v>
      </c>
      <c r="B14" s="5">
        <v>1</v>
      </c>
      <c r="C14" s="6">
        <v>2</v>
      </c>
      <c r="D14" s="6">
        <v>4.5</v>
      </c>
      <c r="E14" s="6">
        <v>4.5</v>
      </c>
      <c r="F14" s="6">
        <v>74</v>
      </c>
      <c r="G14" s="6">
        <v>2</v>
      </c>
      <c r="H14" s="6">
        <v>36</v>
      </c>
      <c r="I14" s="6">
        <v>0.51</v>
      </c>
      <c r="J14" s="6">
        <v>14</v>
      </c>
      <c r="K14" s="6">
        <v>12.7</v>
      </c>
      <c r="L14" s="6">
        <v>11.8</v>
      </c>
      <c r="M14" s="17">
        <f t="shared" si="0"/>
        <v>12.833333333333334</v>
      </c>
    </row>
    <row r="15" spans="1:13" x14ac:dyDescent="0.3">
      <c r="A15" s="5">
        <v>6</v>
      </c>
      <c r="B15" s="5">
        <v>1</v>
      </c>
      <c r="C15" s="6">
        <v>10</v>
      </c>
      <c r="D15" s="6">
        <v>3</v>
      </c>
      <c r="E15" s="6">
        <v>3</v>
      </c>
      <c r="F15" s="6">
        <v>61</v>
      </c>
      <c r="G15" s="6">
        <v>3</v>
      </c>
      <c r="H15" s="6">
        <v>35</v>
      </c>
      <c r="I15" s="6">
        <v>0.49</v>
      </c>
      <c r="J15" s="6">
        <v>14.2</v>
      </c>
      <c r="K15" s="6">
        <v>12.2</v>
      </c>
      <c r="L15" s="6">
        <v>11.7</v>
      </c>
      <c r="M15" s="17">
        <f t="shared" si="0"/>
        <v>12.699999999999998</v>
      </c>
    </row>
    <row r="16" spans="1:13" x14ac:dyDescent="0.3">
      <c r="A16" s="5">
        <v>7</v>
      </c>
      <c r="B16" s="5">
        <v>1</v>
      </c>
      <c r="C16" s="6">
        <v>4</v>
      </c>
      <c r="D16" s="6">
        <v>3.5</v>
      </c>
      <c r="E16" s="6">
        <v>4</v>
      </c>
      <c r="F16" s="6">
        <v>67</v>
      </c>
      <c r="G16" s="6">
        <v>3</v>
      </c>
      <c r="H16" s="6">
        <v>39</v>
      </c>
      <c r="I16" s="6">
        <v>0.54</v>
      </c>
      <c r="J16" s="6">
        <v>14.4</v>
      </c>
      <c r="K16" s="6">
        <v>10.9</v>
      </c>
      <c r="L16" s="6">
        <v>12.4</v>
      </c>
      <c r="M16" s="17">
        <f t="shared" si="0"/>
        <v>12.566666666666668</v>
      </c>
    </row>
    <row r="17" spans="1:13" x14ac:dyDescent="0.3">
      <c r="A17" s="5">
        <v>8</v>
      </c>
      <c r="B17" s="5">
        <v>1</v>
      </c>
      <c r="C17" s="6">
        <v>5</v>
      </c>
      <c r="D17" s="6">
        <v>4</v>
      </c>
      <c r="E17" s="6">
        <v>4</v>
      </c>
      <c r="F17" s="6">
        <v>71</v>
      </c>
      <c r="G17" s="6">
        <v>2</v>
      </c>
      <c r="H17" s="6">
        <v>32</v>
      </c>
      <c r="I17" s="6">
        <v>0.56999999999999995</v>
      </c>
      <c r="J17" s="6">
        <v>11.2</v>
      </c>
      <c r="K17" s="6">
        <v>12.3</v>
      </c>
      <c r="L17" s="6">
        <v>8.6</v>
      </c>
      <c r="M17" s="17">
        <f t="shared" si="0"/>
        <v>10.700000000000001</v>
      </c>
    </row>
    <row r="18" spans="1:13" x14ac:dyDescent="0.3">
      <c r="A18" s="5">
        <v>9</v>
      </c>
      <c r="B18" s="5">
        <v>1</v>
      </c>
      <c r="C18" s="6">
        <v>11</v>
      </c>
      <c r="D18" s="6">
        <v>2</v>
      </c>
      <c r="E18" s="6">
        <v>1</v>
      </c>
      <c r="F18" s="6">
        <v>28</v>
      </c>
      <c r="G18" s="6">
        <v>4</v>
      </c>
      <c r="H18" s="6">
        <v>86</v>
      </c>
      <c r="I18" s="6">
        <v>0.39</v>
      </c>
      <c r="J18" s="6">
        <v>12.4</v>
      </c>
      <c r="K18" s="6">
        <v>13.8</v>
      </c>
      <c r="L18" s="6">
        <v>13.6</v>
      </c>
      <c r="M18" s="17">
        <f t="shared" si="0"/>
        <v>13.266666666666667</v>
      </c>
    </row>
    <row r="19" spans="1:13" x14ac:dyDescent="0.3">
      <c r="A19" s="5">
        <v>10</v>
      </c>
      <c r="B19" s="5">
        <v>1</v>
      </c>
      <c r="C19" s="6">
        <v>1</v>
      </c>
      <c r="D19" s="6">
        <v>3</v>
      </c>
      <c r="E19" s="6">
        <v>4</v>
      </c>
      <c r="F19" s="6">
        <v>72</v>
      </c>
      <c r="G19" s="6">
        <v>2</v>
      </c>
      <c r="H19" s="6">
        <v>30</v>
      </c>
      <c r="I19" s="6">
        <v>0.56999999999999995</v>
      </c>
      <c r="J19" s="6">
        <v>13.6</v>
      </c>
      <c r="K19" s="6">
        <v>18.3</v>
      </c>
      <c r="L19" s="6">
        <v>13.2</v>
      </c>
      <c r="M19" s="17">
        <f t="shared" si="0"/>
        <v>15.033333333333331</v>
      </c>
    </row>
    <row r="20" spans="1:13" x14ac:dyDescent="0.3">
      <c r="A20" s="5">
        <v>11</v>
      </c>
      <c r="B20" s="5">
        <v>1</v>
      </c>
      <c r="C20" s="6">
        <v>6</v>
      </c>
      <c r="D20" s="6">
        <v>4</v>
      </c>
      <c r="E20" s="6">
        <v>4</v>
      </c>
      <c r="F20" s="6">
        <v>75</v>
      </c>
      <c r="G20" s="6">
        <v>3</v>
      </c>
      <c r="H20" s="6">
        <v>37</v>
      </c>
      <c r="I20" s="6">
        <v>0.53</v>
      </c>
      <c r="J20" s="6">
        <v>13.5</v>
      </c>
      <c r="K20" s="6">
        <v>10.9</v>
      </c>
      <c r="L20" s="6">
        <v>12.9</v>
      </c>
      <c r="M20" s="17">
        <f t="shared" si="0"/>
        <v>12.433333333333332</v>
      </c>
    </row>
    <row r="21" spans="1:13" x14ac:dyDescent="0.3">
      <c r="A21" s="8">
        <v>12</v>
      </c>
      <c r="B21" s="8">
        <v>2</v>
      </c>
      <c r="C21" s="9">
        <v>1</v>
      </c>
      <c r="D21" s="9">
        <v>4</v>
      </c>
      <c r="E21" s="9">
        <v>3.5</v>
      </c>
      <c r="F21" s="9">
        <v>67</v>
      </c>
      <c r="G21" s="9">
        <v>2</v>
      </c>
      <c r="H21" s="9">
        <v>36</v>
      </c>
      <c r="I21" s="9">
        <v>0.56000000000000005</v>
      </c>
      <c r="J21" s="9">
        <v>11.4</v>
      </c>
      <c r="K21" s="9">
        <v>12.5</v>
      </c>
      <c r="L21" s="9">
        <v>12.8</v>
      </c>
      <c r="M21" s="19">
        <f t="shared" si="0"/>
        <v>12.233333333333334</v>
      </c>
    </row>
    <row r="22" spans="1:13" x14ac:dyDescent="0.3">
      <c r="A22" s="8">
        <v>13</v>
      </c>
      <c r="B22" s="8">
        <v>2</v>
      </c>
      <c r="C22" s="9">
        <v>6</v>
      </c>
      <c r="D22" s="9">
        <v>2</v>
      </c>
      <c r="E22" s="9">
        <v>2.5</v>
      </c>
      <c r="F22" s="9">
        <v>63</v>
      </c>
      <c r="G22" s="9">
        <v>3</v>
      </c>
      <c r="H22" s="9">
        <v>38</v>
      </c>
      <c r="I22" s="9">
        <v>0.6</v>
      </c>
      <c r="J22" s="9">
        <v>10.5</v>
      </c>
      <c r="K22" s="9">
        <v>11</v>
      </c>
      <c r="L22" s="9">
        <v>11.9</v>
      </c>
      <c r="M22" s="19">
        <f t="shared" si="0"/>
        <v>11.133333333333333</v>
      </c>
    </row>
    <row r="23" spans="1:13" x14ac:dyDescent="0.3">
      <c r="A23" s="11" t="s">
        <v>17</v>
      </c>
      <c r="B23" s="11" t="s">
        <v>17</v>
      </c>
      <c r="C23" s="11" t="s">
        <v>17</v>
      </c>
      <c r="D23" s="11" t="s">
        <v>17</v>
      </c>
      <c r="E23" s="11" t="s">
        <v>17</v>
      </c>
      <c r="F23" s="11" t="s">
        <v>17</v>
      </c>
      <c r="G23" s="11" t="s">
        <v>17</v>
      </c>
      <c r="H23" s="11" t="s">
        <v>17</v>
      </c>
      <c r="I23" s="11" t="s">
        <v>17</v>
      </c>
      <c r="J23" s="11" t="s">
        <v>17</v>
      </c>
      <c r="K23" s="11" t="s">
        <v>17</v>
      </c>
      <c r="L23" s="11" t="s">
        <v>17</v>
      </c>
      <c r="M23" s="11" t="s">
        <v>17</v>
      </c>
    </row>
    <row r="24" spans="1:13" x14ac:dyDescent="0.3">
      <c r="A24" s="8">
        <v>14</v>
      </c>
      <c r="B24" s="8">
        <v>2</v>
      </c>
      <c r="C24" s="9">
        <v>10</v>
      </c>
      <c r="D24" s="9">
        <v>4</v>
      </c>
      <c r="E24" s="9">
        <v>4</v>
      </c>
      <c r="F24" s="9">
        <v>72</v>
      </c>
      <c r="G24" s="9">
        <v>3</v>
      </c>
      <c r="H24" s="9">
        <v>36</v>
      </c>
      <c r="I24" s="9">
        <v>0.57999999999999996</v>
      </c>
      <c r="J24" s="9">
        <v>12.7</v>
      </c>
      <c r="K24" s="9">
        <v>12.5</v>
      </c>
      <c r="L24" s="9">
        <v>12.8</v>
      </c>
      <c r="M24" s="19">
        <f t="shared" si="0"/>
        <v>12.666666666666666</v>
      </c>
    </row>
    <row r="25" spans="1:13" x14ac:dyDescent="0.3">
      <c r="A25" s="8">
        <v>15</v>
      </c>
      <c r="B25" s="8">
        <v>2</v>
      </c>
      <c r="C25" s="9">
        <v>3</v>
      </c>
      <c r="D25" s="9">
        <v>3.5</v>
      </c>
      <c r="E25" s="9">
        <v>4</v>
      </c>
      <c r="F25" s="9">
        <v>74</v>
      </c>
      <c r="G25" s="9">
        <v>3</v>
      </c>
      <c r="H25" s="9">
        <v>28</v>
      </c>
      <c r="I25" s="9">
        <v>0.55000000000000004</v>
      </c>
      <c r="J25" s="9">
        <v>12.7</v>
      </c>
      <c r="K25" s="9">
        <v>12</v>
      </c>
      <c r="L25" s="9">
        <v>13</v>
      </c>
      <c r="M25" s="19">
        <f t="shared" si="0"/>
        <v>12.566666666666668</v>
      </c>
    </row>
    <row r="26" spans="1:13" x14ac:dyDescent="0.3">
      <c r="A26" s="8">
        <v>16</v>
      </c>
      <c r="B26" s="8">
        <v>2</v>
      </c>
      <c r="C26" s="9">
        <v>4</v>
      </c>
      <c r="D26" s="9">
        <v>3.5</v>
      </c>
      <c r="E26" s="9">
        <v>3.5</v>
      </c>
      <c r="F26" s="9">
        <v>63</v>
      </c>
      <c r="G26" s="9">
        <v>3</v>
      </c>
      <c r="H26" s="9">
        <v>41</v>
      </c>
      <c r="I26" s="9">
        <v>0.48</v>
      </c>
      <c r="J26" s="9">
        <v>10.8</v>
      </c>
      <c r="K26" s="9">
        <v>11.1</v>
      </c>
      <c r="L26" s="9">
        <v>10.8</v>
      </c>
      <c r="M26" s="19">
        <f t="shared" si="0"/>
        <v>10.9</v>
      </c>
    </row>
    <row r="27" spans="1:13" x14ac:dyDescent="0.3">
      <c r="A27" s="8">
        <v>17</v>
      </c>
      <c r="B27" s="8">
        <v>2</v>
      </c>
      <c r="C27" s="9">
        <v>2</v>
      </c>
      <c r="D27" s="9">
        <v>4</v>
      </c>
      <c r="E27" s="9">
        <v>3.5</v>
      </c>
      <c r="F27" s="9">
        <v>82</v>
      </c>
      <c r="G27" s="9">
        <v>2</v>
      </c>
      <c r="H27" s="9">
        <v>28</v>
      </c>
      <c r="I27" s="9">
        <v>0.61</v>
      </c>
      <c r="J27" s="9">
        <v>13.2</v>
      </c>
      <c r="K27" s="9">
        <v>14.2</v>
      </c>
      <c r="L27" s="9">
        <v>12.9</v>
      </c>
      <c r="M27" s="19">
        <f t="shared" si="0"/>
        <v>13.433333333333332</v>
      </c>
    </row>
    <row r="28" spans="1:13" x14ac:dyDescent="0.3">
      <c r="A28" s="8">
        <v>18</v>
      </c>
      <c r="B28" s="8">
        <v>2</v>
      </c>
      <c r="C28" s="9">
        <v>11</v>
      </c>
      <c r="D28" s="9">
        <v>4</v>
      </c>
      <c r="E28" s="9">
        <v>3.5</v>
      </c>
      <c r="F28" s="9">
        <v>23</v>
      </c>
      <c r="G28" s="9">
        <v>4</v>
      </c>
      <c r="H28" s="9">
        <v>81</v>
      </c>
      <c r="I28" s="9">
        <v>0.45</v>
      </c>
      <c r="J28" s="9">
        <v>14.1</v>
      </c>
      <c r="K28" s="9">
        <v>13.4</v>
      </c>
      <c r="L28" s="9">
        <v>13</v>
      </c>
      <c r="M28" s="19">
        <f t="shared" si="0"/>
        <v>13.5</v>
      </c>
    </row>
    <row r="29" spans="1:13" x14ac:dyDescent="0.3">
      <c r="A29" s="8">
        <v>19</v>
      </c>
      <c r="B29" s="8">
        <v>2</v>
      </c>
      <c r="C29" s="9">
        <v>7</v>
      </c>
      <c r="D29" s="9">
        <v>4</v>
      </c>
      <c r="E29" s="9">
        <v>4</v>
      </c>
      <c r="F29" s="9">
        <v>69</v>
      </c>
      <c r="G29" s="9">
        <v>3</v>
      </c>
      <c r="H29" s="9">
        <v>40</v>
      </c>
      <c r="I29" s="9">
        <v>0.57999999999999996</v>
      </c>
      <c r="J29" s="9">
        <v>13.3</v>
      </c>
      <c r="K29" s="9">
        <v>13.5</v>
      </c>
      <c r="L29" s="9">
        <v>11.8</v>
      </c>
      <c r="M29" s="19">
        <f t="shared" si="0"/>
        <v>12.866666666666667</v>
      </c>
    </row>
    <row r="30" spans="1:13" x14ac:dyDescent="0.3">
      <c r="A30" s="8">
        <v>20</v>
      </c>
      <c r="B30" s="8">
        <v>2</v>
      </c>
      <c r="C30" s="9">
        <v>9</v>
      </c>
      <c r="D30" s="10">
        <v>4</v>
      </c>
      <c r="E30" s="9">
        <v>4</v>
      </c>
      <c r="F30" s="9">
        <v>67</v>
      </c>
      <c r="G30" s="9">
        <v>3</v>
      </c>
      <c r="H30" s="9">
        <v>41</v>
      </c>
      <c r="I30" s="9">
        <v>0.53</v>
      </c>
      <c r="J30" s="9">
        <v>12.5</v>
      </c>
      <c r="K30" s="9">
        <v>11.5</v>
      </c>
      <c r="L30" s="9">
        <v>11.9</v>
      </c>
      <c r="M30" s="19">
        <f t="shared" si="0"/>
        <v>11.966666666666667</v>
      </c>
    </row>
    <row r="31" spans="1:13" x14ac:dyDescent="0.3">
      <c r="A31" s="8">
        <v>21</v>
      </c>
      <c r="B31" s="8">
        <v>2</v>
      </c>
      <c r="C31" s="9">
        <v>5</v>
      </c>
      <c r="D31" s="9">
        <v>4</v>
      </c>
      <c r="E31" s="9">
        <v>4</v>
      </c>
      <c r="F31" s="9">
        <v>66</v>
      </c>
      <c r="G31" s="9">
        <v>3</v>
      </c>
      <c r="H31" s="9">
        <v>49</v>
      </c>
      <c r="I31" s="9">
        <v>0.59</v>
      </c>
      <c r="J31" s="9">
        <v>12.7</v>
      </c>
      <c r="K31" s="9">
        <v>9.3000000000000007</v>
      </c>
      <c r="L31" s="9">
        <v>10.8</v>
      </c>
      <c r="M31" s="19">
        <f t="shared" si="0"/>
        <v>10.933333333333332</v>
      </c>
    </row>
    <row r="32" spans="1:13" x14ac:dyDescent="0.3">
      <c r="A32" s="8">
        <v>22</v>
      </c>
      <c r="B32" s="8">
        <v>2</v>
      </c>
      <c r="C32" s="9">
        <v>8</v>
      </c>
      <c r="D32" s="9">
        <v>3.5</v>
      </c>
      <c r="E32" s="9">
        <v>3.5</v>
      </c>
      <c r="F32" s="9">
        <v>68</v>
      </c>
      <c r="G32" s="9">
        <v>3</v>
      </c>
      <c r="H32" s="9">
        <v>42</v>
      </c>
      <c r="I32" s="9">
        <v>0.54</v>
      </c>
      <c r="J32" s="9">
        <v>11.9</v>
      </c>
      <c r="K32" s="9">
        <v>11.6</v>
      </c>
      <c r="L32" s="9">
        <v>11.5</v>
      </c>
      <c r="M32" s="19">
        <f t="shared" si="0"/>
        <v>11.666666666666666</v>
      </c>
    </row>
    <row r="33" spans="1:13" x14ac:dyDescent="0.3">
      <c r="A33" s="5">
        <v>23</v>
      </c>
      <c r="B33" s="6">
        <v>3</v>
      </c>
      <c r="C33" s="6">
        <v>4</v>
      </c>
      <c r="D33" s="6">
        <v>3.5</v>
      </c>
      <c r="E33" s="6">
        <v>3.5</v>
      </c>
      <c r="F33" s="6">
        <v>73</v>
      </c>
      <c r="G33" s="6">
        <v>3</v>
      </c>
      <c r="H33" s="6">
        <v>33</v>
      </c>
      <c r="I33" s="6">
        <v>0.57999999999999996</v>
      </c>
      <c r="J33" s="6">
        <v>13.5</v>
      </c>
      <c r="K33" s="6">
        <v>11.2</v>
      </c>
      <c r="L33" s="6">
        <v>12.6</v>
      </c>
      <c r="M33" s="17">
        <f t="shared" si="0"/>
        <v>12.433333333333332</v>
      </c>
    </row>
    <row r="34" spans="1:13" x14ac:dyDescent="0.3">
      <c r="A34" s="5">
        <v>24</v>
      </c>
      <c r="B34" s="6">
        <v>3</v>
      </c>
      <c r="C34" s="6">
        <v>1</v>
      </c>
      <c r="D34" s="6">
        <v>3</v>
      </c>
      <c r="E34" s="6">
        <v>3.5</v>
      </c>
      <c r="F34" s="6">
        <v>53</v>
      </c>
      <c r="G34" s="6">
        <v>4</v>
      </c>
      <c r="H34" s="6">
        <v>57</v>
      </c>
      <c r="I34" s="7">
        <v>0.56999999999999995</v>
      </c>
      <c r="J34" s="6">
        <v>12.3</v>
      </c>
      <c r="K34" s="6">
        <v>10.9</v>
      </c>
      <c r="L34" s="6">
        <v>8.8000000000000007</v>
      </c>
      <c r="M34" s="17">
        <f t="shared" si="0"/>
        <v>10.666666666666666</v>
      </c>
    </row>
    <row r="35" spans="1:13" x14ac:dyDescent="0.3">
      <c r="A35" s="5">
        <v>25</v>
      </c>
      <c r="B35" s="6">
        <v>3</v>
      </c>
      <c r="C35" s="6">
        <v>9</v>
      </c>
      <c r="D35" s="6">
        <v>4</v>
      </c>
      <c r="E35" s="6">
        <v>3.5</v>
      </c>
      <c r="F35" s="6">
        <v>68</v>
      </c>
      <c r="G35" s="6">
        <v>3</v>
      </c>
      <c r="H35" s="6">
        <v>36</v>
      </c>
      <c r="I35" s="6">
        <v>0.55000000000000004</v>
      </c>
      <c r="J35" s="6">
        <v>13.2</v>
      </c>
      <c r="K35" s="6">
        <v>12.9</v>
      </c>
      <c r="L35" s="6">
        <v>12</v>
      </c>
      <c r="M35" s="17">
        <f t="shared" si="0"/>
        <v>12.700000000000001</v>
      </c>
    </row>
    <row r="36" spans="1:13" x14ac:dyDescent="0.3">
      <c r="A36" s="5">
        <v>26</v>
      </c>
      <c r="B36" s="6">
        <v>3</v>
      </c>
      <c r="C36" s="6">
        <v>2</v>
      </c>
      <c r="D36" s="6">
        <v>3.5</v>
      </c>
      <c r="E36" s="6">
        <v>3.5</v>
      </c>
      <c r="F36" s="6">
        <v>65</v>
      </c>
      <c r="G36" s="6">
        <v>3</v>
      </c>
      <c r="H36" s="6">
        <v>35</v>
      </c>
      <c r="I36" s="6">
        <v>0.57999999999999996</v>
      </c>
      <c r="J36" s="6">
        <v>11.6</v>
      </c>
      <c r="K36" s="6">
        <v>10.6</v>
      </c>
      <c r="L36" s="6">
        <v>10.9</v>
      </c>
      <c r="M36" s="17">
        <f t="shared" si="0"/>
        <v>11.033333333333333</v>
      </c>
    </row>
    <row r="37" spans="1:13" x14ac:dyDescent="0.3">
      <c r="A37" s="5">
        <v>27</v>
      </c>
      <c r="B37" s="6">
        <v>3</v>
      </c>
      <c r="C37" s="6">
        <v>6</v>
      </c>
      <c r="D37" s="6">
        <v>3</v>
      </c>
      <c r="E37" s="6">
        <v>2.5</v>
      </c>
      <c r="F37" s="6">
        <v>61</v>
      </c>
      <c r="G37" s="6">
        <v>4</v>
      </c>
      <c r="H37" s="6">
        <v>48</v>
      </c>
      <c r="I37" s="6">
        <v>0.52</v>
      </c>
      <c r="J37" s="6">
        <v>11.1</v>
      </c>
      <c r="K37" s="6">
        <v>10.5</v>
      </c>
      <c r="L37" s="6">
        <v>13.4</v>
      </c>
      <c r="M37" s="17">
        <f t="shared" si="0"/>
        <v>11.666666666666666</v>
      </c>
    </row>
    <row r="38" spans="1:13" x14ac:dyDescent="0.3">
      <c r="A38" s="5">
        <v>28</v>
      </c>
      <c r="B38" s="6">
        <v>3</v>
      </c>
      <c r="C38" s="6">
        <v>11</v>
      </c>
      <c r="D38" s="6">
        <v>3</v>
      </c>
      <c r="E38" s="6">
        <v>2</v>
      </c>
      <c r="F38" s="6">
        <v>29</v>
      </c>
      <c r="G38" s="6">
        <v>4</v>
      </c>
      <c r="H38" s="6">
        <v>71</v>
      </c>
      <c r="I38" s="6">
        <v>0.48</v>
      </c>
      <c r="J38" s="6">
        <v>14.1</v>
      </c>
      <c r="K38" s="6">
        <v>12.6</v>
      </c>
      <c r="L38" s="6">
        <v>11.1</v>
      </c>
      <c r="M38" s="17">
        <f t="shared" si="0"/>
        <v>12.6</v>
      </c>
    </row>
    <row r="39" spans="1:13" x14ac:dyDescent="0.3">
      <c r="A39" s="5">
        <v>29</v>
      </c>
      <c r="B39" s="6">
        <v>3</v>
      </c>
      <c r="C39" s="6">
        <v>5</v>
      </c>
      <c r="D39" s="6">
        <v>3.5</v>
      </c>
      <c r="E39" s="6">
        <v>4</v>
      </c>
      <c r="F39" s="6">
        <v>75</v>
      </c>
      <c r="G39" s="6">
        <v>2</v>
      </c>
      <c r="H39" s="6">
        <v>32</v>
      </c>
      <c r="I39" s="6">
        <v>0.61</v>
      </c>
      <c r="J39" s="6">
        <v>14</v>
      </c>
      <c r="K39" s="6">
        <v>14.2</v>
      </c>
      <c r="L39" s="6">
        <v>13</v>
      </c>
      <c r="M39" s="17">
        <f t="shared" si="0"/>
        <v>13.733333333333334</v>
      </c>
    </row>
    <row r="40" spans="1:13" x14ac:dyDescent="0.3">
      <c r="A40" s="11" t="s">
        <v>17</v>
      </c>
      <c r="B40" s="11" t="s">
        <v>17</v>
      </c>
      <c r="C40" s="11" t="s">
        <v>17</v>
      </c>
      <c r="D40" s="11" t="s">
        <v>17</v>
      </c>
      <c r="E40" s="11" t="s">
        <v>17</v>
      </c>
      <c r="F40" s="11" t="s">
        <v>17</v>
      </c>
      <c r="G40" s="11" t="s">
        <v>17</v>
      </c>
      <c r="H40" s="11" t="s">
        <v>17</v>
      </c>
      <c r="I40" s="11" t="s">
        <v>17</v>
      </c>
      <c r="J40" s="11" t="s">
        <v>17</v>
      </c>
      <c r="K40" s="11" t="s">
        <v>17</v>
      </c>
      <c r="L40" s="11" t="s">
        <v>17</v>
      </c>
      <c r="M40" s="11" t="s">
        <v>17</v>
      </c>
    </row>
    <row r="41" spans="1:13" x14ac:dyDescent="0.3">
      <c r="A41" s="5">
        <v>30</v>
      </c>
      <c r="B41" s="6">
        <v>3</v>
      </c>
      <c r="C41" s="6">
        <v>8</v>
      </c>
      <c r="D41" s="6">
        <v>4</v>
      </c>
      <c r="E41" s="6">
        <v>4</v>
      </c>
      <c r="F41" s="6">
        <v>79</v>
      </c>
      <c r="G41" s="6">
        <v>3</v>
      </c>
      <c r="H41" s="6">
        <v>31</v>
      </c>
      <c r="I41" s="6">
        <v>0.57999999999999996</v>
      </c>
      <c r="J41" s="6">
        <v>11.3</v>
      </c>
      <c r="K41" s="6">
        <v>13.1</v>
      </c>
      <c r="L41" s="6">
        <v>11.1</v>
      </c>
      <c r="M41" s="17">
        <f t="shared" si="0"/>
        <v>11.833333333333334</v>
      </c>
    </row>
    <row r="42" spans="1:13" x14ac:dyDescent="0.3">
      <c r="A42" s="5">
        <v>31</v>
      </c>
      <c r="B42" s="6">
        <v>3</v>
      </c>
      <c r="C42" s="6">
        <v>3</v>
      </c>
      <c r="D42" s="6">
        <v>4</v>
      </c>
      <c r="E42" s="6">
        <v>4</v>
      </c>
      <c r="F42" s="6">
        <v>64</v>
      </c>
      <c r="G42" s="6">
        <v>3</v>
      </c>
      <c r="H42" s="6">
        <v>39</v>
      </c>
      <c r="I42" s="6">
        <v>0.57999999999999996</v>
      </c>
      <c r="J42" s="6">
        <v>13.8</v>
      </c>
      <c r="K42" s="6">
        <v>12.5</v>
      </c>
      <c r="L42" s="6">
        <v>14.3</v>
      </c>
      <c r="M42" s="17">
        <f t="shared" si="0"/>
        <v>13.533333333333333</v>
      </c>
    </row>
    <row r="43" spans="1:13" x14ac:dyDescent="0.3">
      <c r="A43" s="5">
        <v>32</v>
      </c>
      <c r="B43" s="6">
        <v>3</v>
      </c>
      <c r="C43" s="6">
        <v>7</v>
      </c>
      <c r="D43" s="6">
        <v>4</v>
      </c>
      <c r="E43" s="6">
        <v>3.5</v>
      </c>
      <c r="F43" s="6">
        <v>76</v>
      </c>
      <c r="G43" s="6">
        <v>2</v>
      </c>
      <c r="H43" s="6">
        <v>31</v>
      </c>
      <c r="I43" s="6">
        <v>0.62</v>
      </c>
      <c r="J43" s="6">
        <v>12</v>
      </c>
      <c r="K43" s="6">
        <v>13</v>
      </c>
      <c r="L43" s="6">
        <v>11</v>
      </c>
      <c r="M43" s="17">
        <f t="shared" si="0"/>
        <v>12</v>
      </c>
    </row>
    <row r="44" spans="1:13" x14ac:dyDescent="0.3">
      <c r="A44" s="5">
        <v>33</v>
      </c>
      <c r="B44" s="6">
        <v>3</v>
      </c>
      <c r="C44" s="6">
        <v>10</v>
      </c>
      <c r="D44" s="6">
        <v>3.5</v>
      </c>
      <c r="E44" s="6">
        <v>3</v>
      </c>
      <c r="F44" s="6">
        <v>68</v>
      </c>
      <c r="G44" s="6">
        <v>3</v>
      </c>
      <c r="H44" s="6">
        <v>44</v>
      </c>
      <c r="I44" s="6">
        <v>0.61</v>
      </c>
      <c r="J44" s="6">
        <v>11.7</v>
      </c>
      <c r="K44" s="6">
        <v>11.7</v>
      </c>
      <c r="L44" s="6">
        <v>12</v>
      </c>
      <c r="M44" s="17">
        <f t="shared" si="0"/>
        <v>11.799999999999999</v>
      </c>
    </row>
    <row r="45" spans="1:13" x14ac:dyDescent="0.3">
      <c r="A45" s="8">
        <v>34</v>
      </c>
      <c r="B45" s="9">
        <v>4</v>
      </c>
      <c r="C45" s="9">
        <v>7</v>
      </c>
      <c r="D45" s="10">
        <v>3.5</v>
      </c>
      <c r="E45" s="9">
        <v>4</v>
      </c>
      <c r="F45" s="9">
        <v>76</v>
      </c>
      <c r="G45" s="9">
        <v>3</v>
      </c>
      <c r="H45" s="9">
        <v>32</v>
      </c>
      <c r="I45" s="9">
        <v>0.57999999999999996</v>
      </c>
      <c r="J45" s="9">
        <v>14.1</v>
      </c>
      <c r="K45" s="9">
        <v>11.3</v>
      </c>
      <c r="L45" s="9">
        <v>14</v>
      </c>
      <c r="M45" s="19">
        <f t="shared" si="0"/>
        <v>13.133333333333333</v>
      </c>
    </row>
    <row r="46" spans="1:13" x14ac:dyDescent="0.3">
      <c r="A46" s="8">
        <v>35</v>
      </c>
      <c r="B46" s="9">
        <v>4</v>
      </c>
      <c r="C46" s="9">
        <v>8</v>
      </c>
      <c r="D46" s="9">
        <v>35</v>
      </c>
      <c r="E46" s="9">
        <v>3</v>
      </c>
      <c r="F46" s="9">
        <v>59</v>
      </c>
      <c r="G46" s="9">
        <v>3</v>
      </c>
      <c r="H46" s="9">
        <v>48</v>
      </c>
      <c r="I46" s="9">
        <v>0.52</v>
      </c>
      <c r="J46" s="9">
        <v>10.7</v>
      </c>
      <c r="K46" s="9">
        <v>11.4</v>
      </c>
      <c r="L46" s="9">
        <v>10.6</v>
      </c>
      <c r="M46" s="19">
        <f t="shared" si="0"/>
        <v>10.9</v>
      </c>
    </row>
    <row r="47" spans="1:13" x14ac:dyDescent="0.3">
      <c r="A47" s="8">
        <v>36</v>
      </c>
      <c r="B47" s="9">
        <v>4</v>
      </c>
      <c r="C47" s="9">
        <v>11</v>
      </c>
      <c r="D47" s="9">
        <v>4</v>
      </c>
      <c r="E47" s="9">
        <v>3</v>
      </c>
      <c r="F47" s="9">
        <v>57</v>
      </c>
      <c r="G47" s="9">
        <v>3</v>
      </c>
      <c r="H47" s="9">
        <v>53</v>
      </c>
      <c r="I47" s="9">
        <v>0.49</v>
      </c>
      <c r="J47" s="9">
        <v>13.8</v>
      </c>
      <c r="K47" s="9">
        <v>12.6</v>
      </c>
      <c r="L47" s="9">
        <v>14</v>
      </c>
      <c r="M47" s="19">
        <f t="shared" si="0"/>
        <v>13.466666666666667</v>
      </c>
    </row>
    <row r="48" spans="1:13" x14ac:dyDescent="0.3">
      <c r="A48" s="8">
        <v>37</v>
      </c>
      <c r="B48" s="9">
        <v>4</v>
      </c>
      <c r="C48" s="9">
        <v>5</v>
      </c>
      <c r="D48" s="9">
        <v>4</v>
      </c>
      <c r="E48" s="9">
        <v>4</v>
      </c>
      <c r="F48" s="9">
        <v>76</v>
      </c>
      <c r="G48" s="9">
        <v>3</v>
      </c>
      <c r="H48" s="9">
        <v>29</v>
      </c>
      <c r="I48" s="9">
        <v>0.62</v>
      </c>
      <c r="J48" s="9">
        <v>14.3</v>
      </c>
      <c r="K48" s="9">
        <v>13.3</v>
      </c>
      <c r="L48" s="9">
        <v>13.7</v>
      </c>
      <c r="M48" s="19">
        <f t="shared" si="0"/>
        <v>13.766666666666666</v>
      </c>
    </row>
    <row r="49" spans="1:13" x14ac:dyDescent="0.3">
      <c r="A49" s="8">
        <v>38</v>
      </c>
      <c r="B49" s="9">
        <v>4</v>
      </c>
      <c r="C49" s="9">
        <v>9</v>
      </c>
      <c r="D49" s="9">
        <v>3.5</v>
      </c>
      <c r="E49" s="9">
        <v>3.5</v>
      </c>
      <c r="F49" s="9">
        <v>75</v>
      </c>
      <c r="G49" s="9">
        <v>3</v>
      </c>
      <c r="H49" s="9">
        <v>31</v>
      </c>
      <c r="I49" s="9">
        <v>0.56999999999999995</v>
      </c>
      <c r="J49" s="9">
        <v>12.4</v>
      </c>
      <c r="K49" s="9">
        <v>12.1</v>
      </c>
      <c r="L49" s="9">
        <v>10.5</v>
      </c>
      <c r="M49" s="19">
        <f t="shared" si="0"/>
        <v>11.666666666666666</v>
      </c>
    </row>
    <row r="50" spans="1:13" x14ac:dyDescent="0.3">
      <c r="A50" s="11" t="s">
        <v>17</v>
      </c>
      <c r="B50" s="11" t="s">
        <v>17</v>
      </c>
      <c r="C50" s="11" t="s">
        <v>17</v>
      </c>
      <c r="D50" s="11" t="s">
        <v>17</v>
      </c>
      <c r="E50" s="11" t="s">
        <v>17</v>
      </c>
      <c r="F50" s="11" t="s">
        <v>17</v>
      </c>
      <c r="G50" s="11" t="s">
        <v>17</v>
      </c>
      <c r="H50" s="11" t="s">
        <v>17</v>
      </c>
      <c r="I50" s="11" t="s">
        <v>17</v>
      </c>
      <c r="J50" s="11" t="s">
        <v>17</v>
      </c>
      <c r="K50" s="11" t="s">
        <v>17</v>
      </c>
      <c r="L50" s="11" t="s">
        <v>17</v>
      </c>
      <c r="M50" s="11" t="s">
        <v>17</v>
      </c>
    </row>
    <row r="51" spans="1:13" x14ac:dyDescent="0.3">
      <c r="A51" s="8">
        <v>39</v>
      </c>
      <c r="B51" s="9">
        <v>4</v>
      </c>
      <c r="C51" s="9">
        <v>6</v>
      </c>
      <c r="D51" s="9">
        <v>4</v>
      </c>
      <c r="E51" s="9">
        <v>3.5</v>
      </c>
      <c r="F51" s="9">
        <v>77</v>
      </c>
      <c r="G51" s="9">
        <v>3</v>
      </c>
      <c r="H51" s="9">
        <v>26</v>
      </c>
      <c r="I51" s="9">
        <v>0.56999999999999995</v>
      </c>
      <c r="J51" s="9">
        <v>14.6</v>
      </c>
      <c r="K51" s="9">
        <v>13.4</v>
      </c>
      <c r="L51" s="9">
        <v>13.1</v>
      </c>
      <c r="M51" s="19">
        <f t="shared" si="0"/>
        <v>13.700000000000001</v>
      </c>
    </row>
    <row r="52" spans="1:13" x14ac:dyDescent="0.3">
      <c r="A52" s="8">
        <v>40</v>
      </c>
      <c r="B52" s="9">
        <v>4</v>
      </c>
      <c r="C52" s="9">
        <v>2</v>
      </c>
      <c r="D52" s="9">
        <v>4</v>
      </c>
      <c r="E52" s="10">
        <v>3.5</v>
      </c>
      <c r="F52" s="9">
        <v>63</v>
      </c>
      <c r="G52" s="9">
        <v>3</v>
      </c>
      <c r="H52" s="9">
        <v>46</v>
      </c>
      <c r="I52" s="9">
        <v>0.54</v>
      </c>
      <c r="J52" s="10">
        <v>13.5</v>
      </c>
      <c r="K52" s="10">
        <v>11.9</v>
      </c>
      <c r="L52" s="9">
        <v>10.199999999999999</v>
      </c>
      <c r="M52" s="19">
        <f t="shared" si="0"/>
        <v>11.866666666666665</v>
      </c>
    </row>
    <row r="53" spans="1:13" x14ac:dyDescent="0.3">
      <c r="A53" s="8">
        <v>41</v>
      </c>
      <c r="B53" s="9">
        <v>4</v>
      </c>
      <c r="C53" s="9">
        <v>10</v>
      </c>
      <c r="D53" s="9">
        <v>4</v>
      </c>
      <c r="E53" s="9">
        <v>4</v>
      </c>
      <c r="F53" s="9">
        <v>78</v>
      </c>
      <c r="G53" s="9">
        <v>2</v>
      </c>
      <c r="H53" s="9">
        <v>38</v>
      </c>
      <c r="I53" s="9">
        <v>0.6</v>
      </c>
      <c r="J53" s="9">
        <v>14.2</v>
      </c>
      <c r="K53" s="9">
        <v>12.5</v>
      </c>
      <c r="L53" s="9">
        <v>10.199999999999999</v>
      </c>
      <c r="M53" s="19">
        <f t="shared" si="0"/>
        <v>12.299999999999999</v>
      </c>
    </row>
    <row r="54" spans="1:13" x14ac:dyDescent="0.3">
      <c r="A54" s="8">
        <v>42</v>
      </c>
      <c r="B54" s="9">
        <v>4</v>
      </c>
      <c r="C54" s="9">
        <v>1</v>
      </c>
      <c r="D54" s="9">
        <v>4</v>
      </c>
      <c r="E54" s="9">
        <v>3.5</v>
      </c>
      <c r="F54" s="9">
        <v>64</v>
      </c>
      <c r="G54" s="9">
        <v>3</v>
      </c>
      <c r="H54" s="9">
        <v>59</v>
      </c>
      <c r="I54" s="9">
        <v>0.52</v>
      </c>
      <c r="J54" s="9">
        <v>11</v>
      </c>
      <c r="K54" s="9">
        <v>11.7</v>
      </c>
      <c r="L54" s="9">
        <v>11.5</v>
      </c>
      <c r="M54" s="19">
        <f t="shared" si="0"/>
        <v>11.4</v>
      </c>
    </row>
    <row r="55" spans="1:13" x14ac:dyDescent="0.3">
      <c r="A55" s="8">
        <v>43</v>
      </c>
      <c r="B55" s="9">
        <v>4</v>
      </c>
      <c r="C55" s="9">
        <v>4</v>
      </c>
      <c r="D55" s="9">
        <v>3</v>
      </c>
      <c r="E55" s="9">
        <v>3</v>
      </c>
      <c r="F55" s="9">
        <v>68</v>
      </c>
      <c r="G55" s="9">
        <v>3</v>
      </c>
      <c r="H55" s="9">
        <v>46</v>
      </c>
      <c r="I55" s="9">
        <v>0.6</v>
      </c>
      <c r="J55" s="9">
        <v>9.6999999999999993</v>
      </c>
      <c r="K55" s="9">
        <v>10.199999999999999</v>
      </c>
      <c r="L55" s="9">
        <v>10.8</v>
      </c>
      <c r="M55" s="19">
        <f t="shared" si="0"/>
        <v>10.233333333333333</v>
      </c>
    </row>
    <row r="56" spans="1:13" x14ac:dyDescent="0.3">
      <c r="A56" s="8">
        <v>44</v>
      </c>
      <c r="B56" s="9">
        <v>4</v>
      </c>
      <c r="C56" s="9">
        <v>3</v>
      </c>
      <c r="D56" s="9">
        <v>4</v>
      </c>
      <c r="E56" s="9">
        <v>3</v>
      </c>
      <c r="F56" s="9">
        <v>78</v>
      </c>
      <c r="G56" s="9">
        <v>2</v>
      </c>
      <c r="H56" s="9">
        <v>25</v>
      </c>
      <c r="I56" s="9">
        <v>0.54</v>
      </c>
      <c r="J56" s="9">
        <v>10</v>
      </c>
      <c r="K56" s="9">
        <v>9.9</v>
      </c>
      <c r="L56" s="9">
        <v>11.8</v>
      </c>
      <c r="M56" s="19">
        <f t="shared" si="0"/>
        <v>10.566666666666666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6"/>
  <sheetViews>
    <sheetView zoomScaleNormal="100" workbookViewId="0">
      <selection activeCell="S28" sqref="S28"/>
    </sheetView>
  </sheetViews>
  <sheetFormatPr defaultRowHeight="14.4" x14ac:dyDescent="0.3"/>
  <sheetData>
    <row r="1" spans="1:13" x14ac:dyDescent="0.3">
      <c r="A1" t="s">
        <v>7</v>
      </c>
      <c r="C1" t="s">
        <v>8</v>
      </c>
    </row>
    <row r="2" spans="1:13" x14ac:dyDescent="0.3">
      <c r="A2" s="1" t="s">
        <v>13</v>
      </c>
      <c r="B2" t="s">
        <v>43</v>
      </c>
    </row>
    <row r="3" spans="1:13" x14ac:dyDescent="0.3">
      <c r="A3" s="1" t="s">
        <v>12</v>
      </c>
      <c r="B3" t="s">
        <v>24</v>
      </c>
    </row>
    <row r="4" spans="1:13" x14ac:dyDescent="0.3">
      <c r="A4" s="1" t="s">
        <v>11</v>
      </c>
      <c r="B4" t="s">
        <v>25</v>
      </c>
    </row>
    <row r="5" spans="1:13" x14ac:dyDescent="0.3">
      <c r="A5" t="s">
        <v>6</v>
      </c>
      <c r="B5" t="s">
        <v>44</v>
      </c>
    </row>
    <row r="6" spans="1:13" ht="15" thickBot="1" x14ac:dyDescent="0.35">
      <c r="A6" s="1" t="s">
        <v>0</v>
      </c>
    </row>
    <row r="7" spans="1:13" ht="15" thickBot="1" x14ac:dyDescent="0.35">
      <c r="A7" s="1"/>
      <c r="J7" s="12"/>
      <c r="K7" s="13" t="s">
        <v>9</v>
      </c>
      <c r="L7" s="14"/>
      <c r="M7" s="15"/>
    </row>
    <row r="8" spans="1:13" ht="15" thickBot="1" x14ac:dyDescent="0.35">
      <c r="A8" s="2" t="s">
        <v>1</v>
      </c>
      <c r="B8" s="3" t="s">
        <v>2</v>
      </c>
      <c r="C8" s="4" t="s">
        <v>3</v>
      </c>
      <c r="D8" s="2" t="s">
        <v>4</v>
      </c>
      <c r="E8" s="3" t="s">
        <v>5</v>
      </c>
      <c r="F8" s="3" t="s">
        <v>16</v>
      </c>
      <c r="G8" s="3" t="s">
        <v>14</v>
      </c>
      <c r="H8" s="3" t="s">
        <v>15</v>
      </c>
      <c r="I8" s="3" t="s">
        <v>10</v>
      </c>
      <c r="J8" s="16" t="s">
        <v>18</v>
      </c>
      <c r="K8" s="16" t="s">
        <v>19</v>
      </c>
      <c r="L8" s="16" t="s">
        <v>20</v>
      </c>
      <c r="M8" s="16" t="s">
        <v>21</v>
      </c>
    </row>
    <row r="9" spans="1:13" x14ac:dyDescent="0.3">
      <c r="A9" s="5">
        <v>1</v>
      </c>
      <c r="B9" s="5">
        <v>1</v>
      </c>
      <c r="C9" s="5">
        <v>8</v>
      </c>
      <c r="D9" s="6">
        <v>5</v>
      </c>
      <c r="E9" s="6">
        <v>5</v>
      </c>
      <c r="F9" s="6">
        <v>75</v>
      </c>
      <c r="G9" s="6">
        <v>2</v>
      </c>
      <c r="H9" s="6">
        <v>12</v>
      </c>
      <c r="I9" s="6">
        <v>0.53</v>
      </c>
      <c r="J9" s="6">
        <v>32</v>
      </c>
      <c r="K9" s="6">
        <v>28.6</v>
      </c>
      <c r="L9" s="6">
        <v>27.9</v>
      </c>
      <c r="M9" s="17">
        <f>AVERAGE(J9, K9, L9)</f>
        <v>29.5</v>
      </c>
    </row>
    <row r="10" spans="1:13" x14ac:dyDescent="0.3">
      <c r="A10" s="5">
        <v>2</v>
      </c>
      <c r="B10" s="5">
        <v>1</v>
      </c>
      <c r="C10" s="6">
        <v>9</v>
      </c>
      <c r="D10" s="6">
        <v>4.5</v>
      </c>
      <c r="E10" s="6">
        <v>4.5</v>
      </c>
      <c r="F10" s="6">
        <v>74</v>
      </c>
      <c r="G10" s="6">
        <v>2</v>
      </c>
      <c r="H10" s="6">
        <v>14</v>
      </c>
      <c r="I10" s="6">
        <v>0.53</v>
      </c>
      <c r="J10" s="6">
        <v>31.2</v>
      </c>
      <c r="K10" s="6">
        <v>28.5</v>
      </c>
      <c r="L10" s="7">
        <v>28.9</v>
      </c>
      <c r="M10" s="17">
        <f t="shared" ref="M10:M56" si="0">AVERAGE(J10, K10, L10)</f>
        <v>29.533333333333331</v>
      </c>
    </row>
    <row r="11" spans="1:13" x14ac:dyDescent="0.3">
      <c r="A11" s="5">
        <v>3</v>
      </c>
      <c r="B11" s="5">
        <v>1</v>
      </c>
      <c r="C11" s="6">
        <v>7</v>
      </c>
      <c r="D11" s="6">
        <v>5</v>
      </c>
      <c r="E11" s="6">
        <v>5.5</v>
      </c>
      <c r="F11" s="6">
        <v>80</v>
      </c>
      <c r="G11" s="6">
        <v>2</v>
      </c>
      <c r="H11" s="6">
        <v>10</v>
      </c>
      <c r="I11" s="6">
        <v>0.56999999999999995</v>
      </c>
      <c r="J11" s="6">
        <v>29.5</v>
      </c>
      <c r="K11" s="6">
        <v>30.2</v>
      </c>
      <c r="L11" s="6">
        <v>33.5</v>
      </c>
      <c r="M11" s="17">
        <f t="shared" si="0"/>
        <v>31.066666666666666</v>
      </c>
    </row>
    <row r="12" spans="1:13" x14ac:dyDescent="0.3">
      <c r="A12" s="5">
        <v>4</v>
      </c>
      <c r="B12" s="5">
        <v>1</v>
      </c>
      <c r="C12" s="6">
        <v>3</v>
      </c>
      <c r="D12" s="6">
        <v>5.5</v>
      </c>
      <c r="E12" s="6">
        <v>6</v>
      </c>
      <c r="F12" s="6">
        <v>85</v>
      </c>
      <c r="G12" s="6">
        <v>1</v>
      </c>
      <c r="H12" s="6">
        <v>0</v>
      </c>
      <c r="I12" s="6">
        <v>0.56999999999999995</v>
      </c>
      <c r="J12" s="6">
        <v>29.1</v>
      </c>
      <c r="K12" s="6">
        <v>29.5</v>
      </c>
      <c r="L12" s="6">
        <v>29.7</v>
      </c>
      <c r="M12" s="17">
        <f t="shared" si="0"/>
        <v>29.433333333333334</v>
      </c>
    </row>
    <row r="13" spans="1:13" x14ac:dyDescent="0.3">
      <c r="A13" s="11" t="s">
        <v>17</v>
      </c>
      <c r="B13" s="11" t="s">
        <v>17</v>
      </c>
      <c r="C13" s="11" t="s">
        <v>17</v>
      </c>
      <c r="D13" s="11" t="s">
        <v>17</v>
      </c>
      <c r="E13" s="11" t="s">
        <v>17</v>
      </c>
      <c r="F13" s="11" t="s">
        <v>17</v>
      </c>
      <c r="G13" s="11" t="s">
        <v>17</v>
      </c>
      <c r="H13" s="11" t="s">
        <v>17</v>
      </c>
      <c r="I13" s="20" t="s">
        <v>17</v>
      </c>
      <c r="J13" s="11" t="s">
        <v>17</v>
      </c>
      <c r="K13" s="11" t="s">
        <v>17</v>
      </c>
      <c r="L13" s="11" t="s">
        <v>17</v>
      </c>
      <c r="M13" s="11" t="s">
        <v>17</v>
      </c>
    </row>
    <row r="14" spans="1:13" x14ac:dyDescent="0.3">
      <c r="A14" s="5">
        <v>5</v>
      </c>
      <c r="B14" s="5">
        <v>1</v>
      </c>
      <c r="C14" s="6">
        <v>2</v>
      </c>
      <c r="D14" s="6">
        <v>5.5</v>
      </c>
      <c r="E14" s="6">
        <v>6</v>
      </c>
      <c r="F14" s="6">
        <v>85</v>
      </c>
      <c r="G14" s="6">
        <v>1</v>
      </c>
      <c r="H14" s="6">
        <v>0</v>
      </c>
      <c r="I14" s="6">
        <v>0.56000000000000005</v>
      </c>
      <c r="J14" s="6">
        <v>30.6</v>
      </c>
      <c r="K14" s="6">
        <v>32</v>
      </c>
      <c r="L14" s="6">
        <v>26.5</v>
      </c>
      <c r="M14" s="17">
        <f t="shared" si="0"/>
        <v>29.7</v>
      </c>
    </row>
    <row r="15" spans="1:13" x14ac:dyDescent="0.3">
      <c r="A15" s="5">
        <v>6</v>
      </c>
      <c r="B15" s="5">
        <v>1</v>
      </c>
      <c r="C15" s="6">
        <v>10</v>
      </c>
      <c r="D15" s="6">
        <v>4</v>
      </c>
      <c r="E15" s="6">
        <v>4.5</v>
      </c>
      <c r="F15" s="6">
        <v>68</v>
      </c>
      <c r="G15" s="6">
        <v>2</v>
      </c>
      <c r="H15" s="6">
        <v>18</v>
      </c>
      <c r="I15" s="6">
        <v>53</v>
      </c>
      <c r="J15" s="6">
        <v>26.3</v>
      </c>
      <c r="K15" s="6">
        <v>28.5</v>
      </c>
      <c r="L15" s="6">
        <v>29.1</v>
      </c>
      <c r="M15" s="17">
        <f t="shared" si="0"/>
        <v>27.966666666666669</v>
      </c>
    </row>
    <row r="16" spans="1:13" x14ac:dyDescent="0.3">
      <c r="A16" s="5">
        <v>7</v>
      </c>
      <c r="B16" s="5">
        <v>1</v>
      </c>
      <c r="C16" s="6">
        <v>4</v>
      </c>
      <c r="D16" s="6">
        <v>4.5</v>
      </c>
      <c r="E16" s="6">
        <v>4.5</v>
      </c>
      <c r="F16" s="6">
        <v>72</v>
      </c>
      <c r="G16" s="6">
        <v>2</v>
      </c>
      <c r="H16" s="6">
        <v>21</v>
      </c>
      <c r="I16" s="6">
        <v>0.56000000000000005</v>
      </c>
      <c r="J16" s="6">
        <v>33.5</v>
      </c>
      <c r="K16" s="6">
        <v>27.9</v>
      </c>
      <c r="L16" s="6">
        <v>27.2</v>
      </c>
      <c r="M16" s="17">
        <f t="shared" si="0"/>
        <v>29.533333333333331</v>
      </c>
    </row>
    <row r="17" spans="1:13" x14ac:dyDescent="0.3">
      <c r="A17" s="5">
        <v>8</v>
      </c>
      <c r="B17" s="5">
        <v>1</v>
      </c>
      <c r="C17" s="6">
        <v>5</v>
      </c>
      <c r="D17" s="6">
        <v>5.5</v>
      </c>
      <c r="E17" s="6">
        <v>5.5</v>
      </c>
      <c r="F17" s="6">
        <v>78</v>
      </c>
      <c r="G17" s="6">
        <v>2</v>
      </c>
      <c r="H17" s="6">
        <v>5</v>
      </c>
      <c r="I17" s="6">
        <v>0.63</v>
      </c>
      <c r="J17" s="6">
        <v>26.4</v>
      </c>
      <c r="K17" s="6">
        <v>27</v>
      </c>
      <c r="L17" s="6">
        <v>29.8</v>
      </c>
      <c r="M17" s="17">
        <f t="shared" si="0"/>
        <v>27.733333333333334</v>
      </c>
    </row>
    <row r="18" spans="1:13" x14ac:dyDescent="0.3">
      <c r="A18" s="5">
        <v>9</v>
      </c>
      <c r="B18" s="5">
        <v>1</v>
      </c>
      <c r="C18" s="6">
        <v>11</v>
      </c>
      <c r="D18" s="6">
        <v>5</v>
      </c>
      <c r="E18" s="6">
        <v>4.5</v>
      </c>
      <c r="F18" s="6">
        <v>78</v>
      </c>
      <c r="G18" s="6">
        <v>2</v>
      </c>
      <c r="H18" s="6">
        <v>11</v>
      </c>
      <c r="I18" s="6">
        <v>0.53</v>
      </c>
      <c r="J18" s="6">
        <v>25.4</v>
      </c>
      <c r="K18" s="6">
        <v>25.3</v>
      </c>
      <c r="L18" s="6">
        <v>24.8</v>
      </c>
      <c r="M18" s="17">
        <f t="shared" si="0"/>
        <v>25.166666666666668</v>
      </c>
    </row>
    <row r="19" spans="1:13" x14ac:dyDescent="0.3">
      <c r="A19" s="5">
        <v>10</v>
      </c>
      <c r="B19" s="5">
        <v>1</v>
      </c>
      <c r="C19" s="6">
        <v>1</v>
      </c>
      <c r="D19" s="6">
        <v>5.5</v>
      </c>
      <c r="E19" s="6">
        <v>5.5</v>
      </c>
      <c r="F19" s="6">
        <v>82</v>
      </c>
      <c r="G19" s="6">
        <v>1</v>
      </c>
      <c r="H19" s="6">
        <v>0</v>
      </c>
      <c r="I19" s="6">
        <v>0.65</v>
      </c>
      <c r="J19" s="6">
        <v>27.6</v>
      </c>
      <c r="K19" s="6">
        <v>21.3</v>
      </c>
      <c r="L19" s="6">
        <v>27.4</v>
      </c>
      <c r="M19" s="17">
        <f t="shared" si="0"/>
        <v>25.433333333333337</v>
      </c>
    </row>
    <row r="20" spans="1:13" x14ac:dyDescent="0.3">
      <c r="A20" s="5">
        <v>11</v>
      </c>
      <c r="B20" s="5">
        <v>1</v>
      </c>
      <c r="C20" s="6">
        <v>6</v>
      </c>
      <c r="D20" s="6">
        <v>5.5</v>
      </c>
      <c r="E20" s="6">
        <v>5.5</v>
      </c>
      <c r="F20" s="6">
        <v>80</v>
      </c>
      <c r="G20" s="6">
        <v>2</v>
      </c>
      <c r="H20" s="6">
        <v>7</v>
      </c>
      <c r="I20" s="6">
        <v>0.56999999999999995</v>
      </c>
      <c r="J20" s="6">
        <v>27.5</v>
      </c>
      <c r="K20" s="6">
        <v>30.6</v>
      </c>
      <c r="L20" s="6">
        <v>32.799999999999997</v>
      </c>
      <c r="M20" s="17">
        <f t="shared" si="0"/>
        <v>30.3</v>
      </c>
    </row>
    <row r="21" spans="1:13" x14ac:dyDescent="0.3">
      <c r="A21" s="8">
        <v>12</v>
      </c>
      <c r="B21" s="8">
        <v>2</v>
      </c>
      <c r="C21" s="9">
        <v>1</v>
      </c>
      <c r="D21" s="9">
        <v>4.5</v>
      </c>
      <c r="E21" s="9">
        <v>4.5</v>
      </c>
      <c r="F21" s="9">
        <v>71</v>
      </c>
      <c r="G21" s="9">
        <v>3</v>
      </c>
      <c r="H21" s="9">
        <v>28</v>
      </c>
      <c r="I21" s="9">
        <v>0.56000000000000005</v>
      </c>
      <c r="J21" s="9">
        <v>26.3</v>
      </c>
      <c r="K21" s="9">
        <v>27.5</v>
      </c>
      <c r="L21" s="9">
        <v>25.4</v>
      </c>
      <c r="M21" s="19">
        <f t="shared" si="0"/>
        <v>26.399999999999995</v>
      </c>
    </row>
    <row r="22" spans="1:13" x14ac:dyDescent="0.3">
      <c r="A22" s="8">
        <v>13</v>
      </c>
      <c r="B22" s="8">
        <v>2</v>
      </c>
      <c r="C22" s="9">
        <v>6</v>
      </c>
      <c r="D22" s="9">
        <v>5.5</v>
      </c>
      <c r="E22" s="9">
        <v>6</v>
      </c>
      <c r="F22" s="9">
        <v>74</v>
      </c>
      <c r="G22" s="9">
        <v>2</v>
      </c>
      <c r="H22" s="9">
        <v>17</v>
      </c>
      <c r="I22" s="9">
        <v>0.56999999999999995</v>
      </c>
      <c r="J22" s="9">
        <v>29.6</v>
      </c>
      <c r="K22" s="9">
        <v>26.3</v>
      </c>
      <c r="L22" s="9">
        <v>31.2</v>
      </c>
      <c r="M22" s="19">
        <f t="shared" si="0"/>
        <v>29.033333333333335</v>
      </c>
    </row>
    <row r="23" spans="1:13" x14ac:dyDescent="0.3">
      <c r="A23" s="11" t="s">
        <v>17</v>
      </c>
      <c r="B23" s="11" t="s">
        <v>17</v>
      </c>
      <c r="C23" s="11" t="s">
        <v>17</v>
      </c>
      <c r="D23" s="11" t="s">
        <v>17</v>
      </c>
      <c r="E23" s="11" t="s">
        <v>17</v>
      </c>
      <c r="F23" s="11" t="s">
        <v>17</v>
      </c>
      <c r="G23" s="11" t="s">
        <v>17</v>
      </c>
      <c r="H23" s="11" t="s">
        <v>17</v>
      </c>
      <c r="I23" s="20" t="s">
        <v>17</v>
      </c>
      <c r="J23" s="11" t="s">
        <v>17</v>
      </c>
      <c r="K23" s="11" t="s">
        <v>17</v>
      </c>
      <c r="L23" s="11" t="s">
        <v>17</v>
      </c>
      <c r="M23" s="11" t="s">
        <v>17</v>
      </c>
    </row>
    <row r="24" spans="1:13" x14ac:dyDescent="0.3">
      <c r="A24" s="8">
        <v>14</v>
      </c>
      <c r="B24" s="8">
        <v>2</v>
      </c>
      <c r="C24" s="9">
        <v>10</v>
      </c>
      <c r="D24" s="9">
        <v>6</v>
      </c>
      <c r="E24" s="9">
        <v>6</v>
      </c>
      <c r="F24" s="9">
        <v>84</v>
      </c>
      <c r="G24" s="9">
        <v>2</v>
      </c>
      <c r="H24" s="9">
        <v>8</v>
      </c>
      <c r="I24" s="9">
        <v>0.62</v>
      </c>
      <c r="J24" s="9">
        <v>24.2</v>
      </c>
      <c r="K24" s="9">
        <v>21.6</v>
      </c>
      <c r="L24" s="10" t="s">
        <v>45</v>
      </c>
      <c r="M24" s="19">
        <f t="shared" si="0"/>
        <v>22.9</v>
      </c>
    </row>
    <row r="25" spans="1:13" x14ac:dyDescent="0.3">
      <c r="A25" s="8">
        <v>15</v>
      </c>
      <c r="B25" s="8">
        <v>2</v>
      </c>
      <c r="C25" s="9">
        <v>3</v>
      </c>
      <c r="D25" s="9">
        <v>6</v>
      </c>
      <c r="E25" s="9">
        <v>6</v>
      </c>
      <c r="F25" s="9">
        <v>85</v>
      </c>
      <c r="G25" s="9">
        <v>1</v>
      </c>
      <c r="H25" s="9">
        <v>0</v>
      </c>
      <c r="I25" s="9">
        <v>0.61</v>
      </c>
      <c r="J25" s="9">
        <v>28.7</v>
      </c>
      <c r="K25" s="9">
        <v>28.5</v>
      </c>
      <c r="L25" s="9">
        <v>31.8</v>
      </c>
      <c r="M25" s="19">
        <f t="shared" si="0"/>
        <v>29.666666666666668</v>
      </c>
    </row>
    <row r="26" spans="1:13" x14ac:dyDescent="0.3">
      <c r="A26" s="8">
        <v>16</v>
      </c>
      <c r="B26" s="8">
        <v>2</v>
      </c>
      <c r="C26" s="9">
        <v>4</v>
      </c>
      <c r="D26" s="9">
        <v>5</v>
      </c>
      <c r="E26" s="9">
        <v>5.5</v>
      </c>
      <c r="F26" s="9">
        <v>80</v>
      </c>
      <c r="G26" s="9">
        <v>2</v>
      </c>
      <c r="H26" s="9">
        <v>12</v>
      </c>
      <c r="I26" s="9">
        <v>0.55000000000000004</v>
      </c>
      <c r="J26" s="9">
        <v>22.1</v>
      </c>
      <c r="K26" s="9">
        <v>22.7</v>
      </c>
      <c r="L26" s="9">
        <v>29.2</v>
      </c>
      <c r="M26" s="19">
        <f t="shared" si="0"/>
        <v>24.666666666666668</v>
      </c>
    </row>
    <row r="27" spans="1:13" x14ac:dyDescent="0.3">
      <c r="A27" s="8">
        <v>17</v>
      </c>
      <c r="B27" s="8">
        <v>2</v>
      </c>
      <c r="C27" s="9">
        <v>2</v>
      </c>
      <c r="D27" s="9">
        <v>5.5</v>
      </c>
      <c r="E27" s="9">
        <v>6</v>
      </c>
      <c r="F27" s="9">
        <v>81</v>
      </c>
      <c r="G27" s="9">
        <v>2</v>
      </c>
      <c r="H27" s="9">
        <v>8</v>
      </c>
      <c r="I27" s="9">
        <v>0.6</v>
      </c>
      <c r="J27" s="9">
        <v>26.8</v>
      </c>
      <c r="K27" s="9">
        <v>29.9</v>
      </c>
      <c r="L27" s="9">
        <v>28.6</v>
      </c>
      <c r="M27" s="19">
        <f t="shared" si="0"/>
        <v>28.433333333333337</v>
      </c>
    </row>
    <row r="28" spans="1:13" x14ac:dyDescent="0.3">
      <c r="A28" s="8">
        <v>18</v>
      </c>
      <c r="B28" s="8">
        <v>2</v>
      </c>
      <c r="C28" s="9">
        <v>11</v>
      </c>
      <c r="D28" s="9">
        <v>5.5</v>
      </c>
      <c r="E28" s="9">
        <v>5.5</v>
      </c>
      <c r="F28" s="9">
        <v>78</v>
      </c>
      <c r="G28" s="9">
        <v>2</v>
      </c>
      <c r="H28" s="9">
        <v>5</v>
      </c>
      <c r="I28" s="9">
        <v>0.55000000000000004</v>
      </c>
      <c r="J28" s="9">
        <v>28</v>
      </c>
      <c r="K28" s="9">
        <v>28.4</v>
      </c>
      <c r="L28" s="9">
        <v>27.5</v>
      </c>
      <c r="M28" s="19">
        <f t="shared" si="0"/>
        <v>27.966666666666669</v>
      </c>
    </row>
    <row r="29" spans="1:13" x14ac:dyDescent="0.3">
      <c r="A29" s="8">
        <v>19</v>
      </c>
      <c r="B29" s="8">
        <v>2</v>
      </c>
      <c r="C29" s="9">
        <v>7</v>
      </c>
      <c r="D29" s="9">
        <v>6</v>
      </c>
      <c r="E29" s="9">
        <v>6</v>
      </c>
      <c r="F29" s="9">
        <v>81</v>
      </c>
      <c r="G29" s="9">
        <v>2</v>
      </c>
      <c r="H29" s="9">
        <v>6</v>
      </c>
      <c r="I29" s="9">
        <v>0.56999999999999995</v>
      </c>
      <c r="J29" s="9">
        <v>26.3</v>
      </c>
      <c r="K29" s="9">
        <v>24.8</v>
      </c>
      <c r="L29" s="9">
        <v>27.2</v>
      </c>
      <c r="M29" s="19">
        <f t="shared" si="0"/>
        <v>26.099999999999998</v>
      </c>
    </row>
    <row r="30" spans="1:13" x14ac:dyDescent="0.3">
      <c r="A30" s="8">
        <v>20</v>
      </c>
      <c r="B30" s="8">
        <v>2</v>
      </c>
      <c r="C30" s="9">
        <v>9</v>
      </c>
      <c r="D30" s="10">
        <v>5</v>
      </c>
      <c r="E30" s="9">
        <v>5</v>
      </c>
      <c r="F30" s="9">
        <v>78</v>
      </c>
      <c r="G30" s="9">
        <v>2</v>
      </c>
      <c r="H30" s="9">
        <v>7</v>
      </c>
      <c r="I30" s="9">
        <v>0.55000000000000004</v>
      </c>
      <c r="J30" s="9">
        <v>27.4</v>
      </c>
      <c r="K30" s="9">
        <v>26.8</v>
      </c>
      <c r="L30" s="9">
        <v>30</v>
      </c>
      <c r="M30" s="19">
        <f t="shared" si="0"/>
        <v>28.066666666666666</v>
      </c>
    </row>
    <row r="31" spans="1:13" x14ac:dyDescent="0.3">
      <c r="A31" s="8">
        <v>21</v>
      </c>
      <c r="B31" s="8">
        <v>2</v>
      </c>
      <c r="C31" s="9">
        <v>5</v>
      </c>
      <c r="D31" s="9">
        <v>5.5</v>
      </c>
      <c r="E31" s="9">
        <v>6</v>
      </c>
      <c r="F31" s="9">
        <v>86</v>
      </c>
      <c r="G31" s="9">
        <v>2</v>
      </c>
      <c r="H31" s="9">
        <v>8</v>
      </c>
      <c r="I31" s="9">
        <v>0.56999999999999995</v>
      </c>
      <c r="J31" s="9">
        <v>24.8</v>
      </c>
      <c r="K31" s="9">
        <v>29.6</v>
      </c>
      <c r="L31" s="9">
        <v>27.1</v>
      </c>
      <c r="M31" s="19">
        <f t="shared" si="0"/>
        <v>27.166666666666668</v>
      </c>
    </row>
    <row r="32" spans="1:13" x14ac:dyDescent="0.3">
      <c r="A32" s="8">
        <v>22</v>
      </c>
      <c r="B32" s="8">
        <v>2</v>
      </c>
      <c r="C32" s="9">
        <v>8</v>
      </c>
      <c r="D32" s="9">
        <v>5</v>
      </c>
      <c r="E32" s="9">
        <v>6</v>
      </c>
      <c r="F32" s="9">
        <v>83</v>
      </c>
      <c r="G32" s="9">
        <v>2</v>
      </c>
      <c r="H32" s="9">
        <v>7</v>
      </c>
      <c r="I32" s="9">
        <v>0.53</v>
      </c>
      <c r="J32" s="9">
        <v>24.2</v>
      </c>
      <c r="K32" s="9">
        <v>19.5</v>
      </c>
      <c r="L32" s="9">
        <v>20</v>
      </c>
      <c r="M32" s="19">
        <f t="shared" si="0"/>
        <v>21.233333333333334</v>
      </c>
    </row>
    <row r="33" spans="1:13" x14ac:dyDescent="0.3">
      <c r="A33" s="5">
        <v>23</v>
      </c>
      <c r="B33" s="6">
        <v>3</v>
      </c>
      <c r="C33" s="6">
        <v>4</v>
      </c>
      <c r="D33" s="6">
        <v>5.5</v>
      </c>
      <c r="E33" s="6">
        <v>5.5</v>
      </c>
      <c r="F33" s="6">
        <v>75</v>
      </c>
      <c r="G33" s="6">
        <v>2</v>
      </c>
      <c r="H33" s="6">
        <v>12</v>
      </c>
      <c r="I33" s="6">
        <v>0.57999999999999996</v>
      </c>
      <c r="J33" s="6">
        <v>29.6</v>
      </c>
      <c r="K33" s="6">
        <v>30.4</v>
      </c>
      <c r="L33" s="6">
        <v>29.7</v>
      </c>
      <c r="M33" s="17">
        <f t="shared" si="0"/>
        <v>29.900000000000002</v>
      </c>
    </row>
    <row r="34" spans="1:13" x14ac:dyDescent="0.3">
      <c r="A34" s="5">
        <v>24</v>
      </c>
      <c r="B34" s="6">
        <v>3</v>
      </c>
      <c r="C34" s="6">
        <v>1</v>
      </c>
      <c r="D34" s="6">
        <v>5.5</v>
      </c>
      <c r="E34" s="6">
        <v>5.5</v>
      </c>
      <c r="F34" s="6">
        <v>71</v>
      </c>
      <c r="G34" s="6">
        <v>2</v>
      </c>
      <c r="H34" s="6">
        <v>15</v>
      </c>
      <c r="I34" s="7">
        <v>0.56000000000000005</v>
      </c>
      <c r="J34" s="7" t="s">
        <v>46</v>
      </c>
      <c r="K34" s="6">
        <v>23.6</v>
      </c>
      <c r="L34" s="6">
        <v>24.9</v>
      </c>
      <c r="M34" s="17">
        <f t="shared" si="0"/>
        <v>24.25</v>
      </c>
    </row>
    <row r="35" spans="1:13" x14ac:dyDescent="0.3">
      <c r="A35" s="5">
        <v>25</v>
      </c>
      <c r="B35" s="6">
        <v>3</v>
      </c>
      <c r="C35" s="6">
        <v>9</v>
      </c>
      <c r="D35" s="6">
        <v>5.5</v>
      </c>
      <c r="E35" s="6">
        <v>5.5</v>
      </c>
      <c r="F35" s="6">
        <v>82</v>
      </c>
      <c r="G35" s="6">
        <v>2</v>
      </c>
      <c r="H35" s="6">
        <v>17</v>
      </c>
      <c r="I35" s="6">
        <v>55</v>
      </c>
      <c r="J35" s="6">
        <v>28.1</v>
      </c>
      <c r="K35" s="6">
        <v>28</v>
      </c>
      <c r="L35" s="6">
        <v>30.8</v>
      </c>
      <c r="M35" s="17">
        <f t="shared" si="0"/>
        <v>28.966666666666669</v>
      </c>
    </row>
    <row r="36" spans="1:13" x14ac:dyDescent="0.3">
      <c r="A36" s="5">
        <v>26</v>
      </c>
      <c r="B36" s="6">
        <v>3</v>
      </c>
      <c r="C36" s="6">
        <v>2</v>
      </c>
      <c r="D36" s="6">
        <v>5.5</v>
      </c>
      <c r="E36" s="6">
        <v>5.5</v>
      </c>
      <c r="F36" s="6">
        <v>82</v>
      </c>
      <c r="G36" s="6">
        <v>2</v>
      </c>
      <c r="H36" s="6">
        <v>11</v>
      </c>
      <c r="I36" s="6">
        <v>0.59</v>
      </c>
      <c r="J36" s="6">
        <v>20</v>
      </c>
      <c r="K36" s="6">
        <v>17.3</v>
      </c>
      <c r="L36" s="6">
        <v>18.8</v>
      </c>
      <c r="M36" s="17">
        <f t="shared" si="0"/>
        <v>18.7</v>
      </c>
    </row>
    <row r="37" spans="1:13" x14ac:dyDescent="0.3">
      <c r="A37" s="5">
        <v>27</v>
      </c>
      <c r="B37" s="6">
        <v>3</v>
      </c>
      <c r="C37" s="6">
        <v>6</v>
      </c>
      <c r="D37" s="6">
        <v>5</v>
      </c>
      <c r="E37" s="6">
        <v>5.5</v>
      </c>
      <c r="F37" s="6">
        <v>78</v>
      </c>
      <c r="G37" s="6">
        <v>2</v>
      </c>
      <c r="H37" s="6">
        <v>14</v>
      </c>
      <c r="I37" s="6">
        <v>0.52</v>
      </c>
      <c r="J37" s="6">
        <v>22.1</v>
      </c>
      <c r="K37" s="6">
        <v>28.3</v>
      </c>
      <c r="L37" s="6">
        <v>26.5</v>
      </c>
      <c r="M37" s="17">
        <f t="shared" si="0"/>
        <v>25.633333333333336</v>
      </c>
    </row>
    <row r="38" spans="1:13" x14ac:dyDescent="0.3">
      <c r="A38" s="5">
        <v>28</v>
      </c>
      <c r="B38" s="6">
        <v>3</v>
      </c>
      <c r="C38" s="6">
        <v>11</v>
      </c>
      <c r="D38" s="6">
        <v>5.5</v>
      </c>
      <c r="E38" s="6">
        <v>6</v>
      </c>
      <c r="F38" s="6">
        <v>83</v>
      </c>
      <c r="G38" s="6">
        <v>2</v>
      </c>
      <c r="H38" s="6">
        <v>11</v>
      </c>
      <c r="I38" s="6">
        <v>0.59</v>
      </c>
      <c r="J38" s="6">
        <v>29.3</v>
      </c>
      <c r="K38" s="6">
        <v>26.4</v>
      </c>
      <c r="L38" s="6">
        <v>27.5</v>
      </c>
      <c r="M38" s="17">
        <f t="shared" si="0"/>
        <v>27.733333333333334</v>
      </c>
    </row>
    <row r="39" spans="1:13" x14ac:dyDescent="0.3">
      <c r="A39" s="5">
        <v>29</v>
      </c>
      <c r="B39" s="6">
        <v>3</v>
      </c>
      <c r="C39" s="6">
        <v>5</v>
      </c>
      <c r="D39" s="6">
        <v>5.5</v>
      </c>
      <c r="E39" s="6">
        <v>5.5</v>
      </c>
      <c r="F39" s="6">
        <v>84</v>
      </c>
      <c r="G39" s="6">
        <v>2</v>
      </c>
      <c r="H39" s="6">
        <v>8</v>
      </c>
      <c r="I39" s="7">
        <v>0.59</v>
      </c>
      <c r="J39" s="6">
        <v>30.2</v>
      </c>
      <c r="K39" s="6">
        <v>30.4</v>
      </c>
      <c r="L39" s="6">
        <v>30.4</v>
      </c>
      <c r="M39" s="17">
        <f t="shared" si="0"/>
        <v>30.333333333333332</v>
      </c>
    </row>
    <row r="40" spans="1:13" x14ac:dyDescent="0.3">
      <c r="A40" s="11" t="s">
        <v>17</v>
      </c>
      <c r="B40" s="11" t="s">
        <v>17</v>
      </c>
      <c r="C40" s="11" t="s">
        <v>17</v>
      </c>
      <c r="D40" s="11" t="s">
        <v>17</v>
      </c>
      <c r="E40" s="11" t="s">
        <v>17</v>
      </c>
      <c r="F40" s="11" t="s">
        <v>17</v>
      </c>
      <c r="G40" s="11" t="s">
        <v>17</v>
      </c>
      <c r="H40" s="11" t="s">
        <v>17</v>
      </c>
      <c r="I40" s="20" t="s">
        <v>17</v>
      </c>
      <c r="J40" s="11" t="s">
        <v>17</v>
      </c>
      <c r="K40" s="11" t="s">
        <v>17</v>
      </c>
      <c r="L40" s="11" t="s">
        <v>17</v>
      </c>
      <c r="M40" s="11" t="s">
        <v>17</v>
      </c>
    </row>
    <row r="41" spans="1:13" x14ac:dyDescent="0.3">
      <c r="A41" s="5">
        <v>30</v>
      </c>
      <c r="B41" s="6">
        <v>3</v>
      </c>
      <c r="C41" s="6">
        <v>8</v>
      </c>
      <c r="D41" s="6">
        <v>5.5</v>
      </c>
      <c r="E41" s="6">
        <v>5.5</v>
      </c>
      <c r="F41" s="6">
        <v>84</v>
      </c>
      <c r="G41" s="6">
        <v>2</v>
      </c>
      <c r="H41" s="6">
        <v>14</v>
      </c>
      <c r="I41" s="6">
        <v>0.62</v>
      </c>
      <c r="J41" s="6">
        <v>31.9</v>
      </c>
      <c r="K41" s="6">
        <v>27.8</v>
      </c>
      <c r="L41" s="6">
        <v>24.7</v>
      </c>
      <c r="M41" s="17">
        <f>AVERAGE(J41, K41, L41)</f>
        <v>28.133333333333336</v>
      </c>
    </row>
    <row r="42" spans="1:13" x14ac:dyDescent="0.3">
      <c r="A42" s="5">
        <v>31</v>
      </c>
      <c r="B42" s="6">
        <v>3</v>
      </c>
      <c r="C42" s="6">
        <v>3</v>
      </c>
      <c r="D42" s="6">
        <v>4.5</v>
      </c>
      <c r="E42" s="6">
        <v>5</v>
      </c>
      <c r="F42" s="6">
        <v>78</v>
      </c>
      <c r="G42" s="6">
        <v>2</v>
      </c>
      <c r="H42" s="6">
        <v>16</v>
      </c>
      <c r="I42" s="6">
        <v>0.6</v>
      </c>
      <c r="J42" s="6">
        <v>30.5</v>
      </c>
      <c r="K42" s="6">
        <v>27.8</v>
      </c>
      <c r="L42" s="6">
        <v>28.6</v>
      </c>
      <c r="M42" s="17">
        <f t="shared" si="0"/>
        <v>28.966666666666669</v>
      </c>
    </row>
    <row r="43" spans="1:13" x14ac:dyDescent="0.3">
      <c r="A43" s="5">
        <v>32</v>
      </c>
      <c r="B43" s="6">
        <v>3</v>
      </c>
      <c r="C43" s="6">
        <v>7</v>
      </c>
      <c r="D43" s="6">
        <v>5.5</v>
      </c>
      <c r="E43" s="6">
        <v>5.5</v>
      </c>
      <c r="F43" s="6">
        <v>83</v>
      </c>
      <c r="G43" s="6">
        <v>2</v>
      </c>
      <c r="H43" s="6">
        <v>7</v>
      </c>
      <c r="I43" s="6">
        <v>0.62</v>
      </c>
      <c r="J43" s="6">
        <v>25.4</v>
      </c>
      <c r="K43" s="6">
        <v>26.5</v>
      </c>
      <c r="L43" s="6">
        <v>27</v>
      </c>
      <c r="M43" s="17">
        <f t="shared" si="0"/>
        <v>26.3</v>
      </c>
    </row>
    <row r="44" spans="1:13" x14ac:dyDescent="0.3">
      <c r="A44" s="5">
        <v>33</v>
      </c>
      <c r="B44" s="6">
        <v>3</v>
      </c>
      <c r="C44" s="6">
        <v>10</v>
      </c>
      <c r="D44" s="6">
        <v>5.5</v>
      </c>
      <c r="E44" s="6">
        <v>6</v>
      </c>
      <c r="F44" s="6">
        <v>86</v>
      </c>
      <c r="G44" s="6">
        <v>2</v>
      </c>
      <c r="H44" s="6">
        <v>8</v>
      </c>
      <c r="I44" s="6">
        <v>0.65</v>
      </c>
      <c r="J44" s="6">
        <v>25.6</v>
      </c>
      <c r="K44" s="6">
        <v>27.3</v>
      </c>
      <c r="L44" s="7" t="s">
        <v>47</v>
      </c>
      <c r="M44" s="17">
        <f t="shared" si="0"/>
        <v>26.450000000000003</v>
      </c>
    </row>
    <row r="45" spans="1:13" x14ac:dyDescent="0.3">
      <c r="A45" s="8">
        <v>34</v>
      </c>
      <c r="B45" s="9">
        <v>4</v>
      </c>
      <c r="C45" s="9">
        <v>7</v>
      </c>
      <c r="D45" s="10">
        <v>4.5</v>
      </c>
      <c r="E45" s="9">
        <v>4.5</v>
      </c>
      <c r="F45" s="9">
        <v>81</v>
      </c>
      <c r="G45" s="9">
        <v>2</v>
      </c>
      <c r="H45" s="9">
        <v>16</v>
      </c>
      <c r="I45" s="10">
        <v>0.56999999999999995</v>
      </c>
      <c r="J45" s="9">
        <v>27.6</v>
      </c>
      <c r="K45" s="9">
        <v>27.4</v>
      </c>
      <c r="L45" s="10">
        <v>31.9</v>
      </c>
      <c r="M45" s="19">
        <f t="shared" si="0"/>
        <v>28.966666666666669</v>
      </c>
    </row>
    <row r="46" spans="1:13" x14ac:dyDescent="0.3">
      <c r="A46" s="8">
        <v>35</v>
      </c>
      <c r="B46" s="9">
        <v>4</v>
      </c>
      <c r="C46" s="9">
        <v>8</v>
      </c>
      <c r="D46" s="9">
        <v>3.5</v>
      </c>
      <c r="E46" s="9">
        <v>4</v>
      </c>
      <c r="F46" s="9">
        <v>71</v>
      </c>
      <c r="G46" s="9">
        <v>3</v>
      </c>
      <c r="H46" s="9">
        <v>28</v>
      </c>
      <c r="I46" s="9">
        <v>0.55000000000000004</v>
      </c>
      <c r="J46" s="9">
        <v>27.4</v>
      </c>
      <c r="K46" s="9">
        <v>24.6</v>
      </c>
      <c r="L46" s="9">
        <v>25.5</v>
      </c>
      <c r="M46" s="19">
        <f t="shared" si="0"/>
        <v>25.833333333333332</v>
      </c>
    </row>
    <row r="47" spans="1:13" x14ac:dyDescent="0.3">
      <c r="A47" s="8">
        <v>36</v>
      </c>
      <c r="B47" s="9">
        <v>4</v>
      </c>
      <c r="C47" s="9">
        <v>11</v>
      </c>
      <c r="D47" s="9">
        <v>4.5</v>
      </c>
      <c r="E47" s="9">
        <v>4.5</v>
      </c>
      <c r="F47" s="9">
        <v>77</v>
      </c>
      <c r="G47" s="9">
        <v>3</v>
      </c>
      <c r="H47" s="9">
        <v>24</v>
      </c>
      <c r="I47" s="9">
        <v>0.54</v>
      </c>
      <c r="J47" s="9">
        <v>32.1</v>
      </c>
      <c r="K47" s="9">
        <v>30.5</v>
      </c>
      <c r="L47" s="9">
        <v>29.2</v>
      </c>
      <c r="M47" s="19">
        <f t="shared" si="0"/>
        <v>30.599999999999998</v>
      </c>
    </row>
    <row r="48" spans="1:13" x14ac:dyDescent="0.3">
      <c r="A48" s="8">
        <v>37</v>
      </c>
      <c r="B48" s="9">
        <v>4</v>
      </c>
      <c r="C48" s="9">
        <v>5</v>
      </c>
      <c r="D48" s="9">
        <v>5.5</v>
      </c>
      <c r="E48" s="9">
        <v>6</v>
      </c>
      <c r="F48" s="9">
        <v>85</v>
      </c>
      <c r="G48" s="9">
        <v>2</v>
      </c>
      <c r="H48" s="9">
        <v>13</v>
      </c>
      <c r="I48" s="9">
        <v>0.6</v>
      </c>
      <c r="J48" s="9">
        <v>29.2</v>
      </c>
      <c r="K48" s="9">
        <v>29</v>
      </c>
      <c r="L48" s="9">
        <v>24.5</v>
      </c>
      <c r="M48" s="19">
        <f t="shared" si="0"/>
        <v>27.566666666666666</v>
      </c>
    </row>
    <row r="49" spans="1:13" x14ac:dyDescent="0.3">
      <c r="A49" s="8">
        <v>38</v>
      </c>
      <c r="B49" s="9">
        <v>4</v>
      </c>
      <c r="C49" s="9">
        <v>9</v>
      </c>
      <c r="D49" s="9">
        <v>5.5</v>
      </c>
      <c r="E49" s="9">
        <v>5.5</v>
      </c>
      <c r="F49" s="9">
        <v>83</v>
      </c>
      <c r="G49" s="9">
        <v>2</v>
      </c>
      <c r="H49" s="9">
        <v>15</v>
      </c>
      <c r="I49" s="9">
        <v>0.56000000000000005</v>
      </c>
      <c r="J49" s="9">
        <v>25.4</v>
      </c>
      <c r="K49" s="9">
        <v>27.8</v>
      </c>
      <c r="L49" s="9">
        <v>24.1</v>
      </c>
      <c r="M49" s="19">
        <f t="shared" si="0"/>
        <v>25.766666666666669</v>
      </c>
    </row>
    <row r="50" spans="1:13" x14ac:dyDescent="0.3">
      <c r="A50" s="11" t="s">
        <v>17</v>
      </c>
      <c r="B50" s="11" t="s">
        <v>17</v>
      </c>
      <c r="C50" s="11" t="s">
        <v>17</v>
      </c>
      <c r="D50" s="11" t="s">
        <v>17</v>
      </c>
      <c r="E50" s="11" t="s">
        <v>17</v>
      </c>
      <c r="F50" s="11" t="s">
        <v>17</v>
      </c>
      <c r="G50" s="11" t="s">
        <v>17</v>
      </c>
      <c r="H50" s="11" t="s">
        <v>17</v>
      </c>
      <c r="I50" s="11" t="s">
        <v>17</v>
      </c>
      <c r="J50" s="11" t="s">
        <v>17</v>
      </c>
      <c r="K50" s="11" t="s">
        <v>17</v>
      </c>
      <c r="L50" s="11" t="s">
        <v>17</v>
      </c>
      <c r="M50" s="11" t="s">
        <v>17</v>
      </c>
    </row>
    <row r="51" spans="1:13" x14ac:dyDescent="0.3">
      <c r="A51" s="8">
        <v>39</v>
      </c>
      <c r="B51" s="9">
        <v>4</v>
      </c>
      <c r="C51" s="9">
        <v>6</v>
      </c>
      <c r="D51" s="9">
        <v>5.5</v>
      </c>
      <c r="E51" s="9">
        <v>5.5</v>
      </c>
      <c r="F51" s="9">
        <v>79</v>
      </c>
      <c r="G51" s="9">
        <v>2</v>
      </c>
      <c r="H51" s="9">
        <v>14</v>
      </c>
      <c r="I51" s="9">
        <v>0.59</v>
      </c>
      <c r="J51" s="9">
        <v>20.8</v>
      </c>
      <c r="K51" s="9">
        <v>21.8</v>
      </c>
      <c r="L51" s="9">
        <v>20</v>
      </c>
      <c r="M51" s="19">
        <f t="shared" si="0"/>
        <v>20.866666666666667</v>
      </c>
    </row>
    <row r="52" spans="1:13" x14ac:dyDescent="0.3">
      <c r="A52" s="8">
        <v>40</v>
      </c>
      <c r="B52" s="9">
        <v>4</v>
      </c>
      <c r="C52" s="9">
        <v>2</v>
      </c>
      <c r="D52" s="9">
        <v>4.5</v>
      </c>
      <c r="E52" s="10">
        <v>5</v>
      </c>
      <c r="F52" s="9">
        <v>72</v>
      </c>
      <c r="G52" s="9">
        <v>3</v>
      </c>
      <c r="H52" s="9">
        <v>32</v>
      </c>
      <c r="I52" s="9">
        <v>0.56999999999999995</v>
      </c>
      <c r="J52" s="10">
        <v>28.6</v>
      </c>
      <c r="K52" s="10">
        <v>27.4</v>
      </c>
      <c r="L52" s="9">
        <v>29.9</v>
      </c>
      <c r="M52" s="19">
        <f t="shared" si="0"/>
        <v>28.633333333333336</v>
      </c>
    </row>
    <row r="53" spans="1:13" x14ac:dyDescent="0.3">
      <c r="A53" s="8">
        <v>41</v>
      </c>
      <c r="B53" s="9">
        <v>4</v>
      </c>
      <c r="C53" s="9">
        <v>10</v>
      </c>
      <c r="D53" s="9">
        <v>5</v>
      </c>
      <c r="E53" s="9">
        <v>5</v>
      </c>
      <c r="F53" s="9">
        <v>81</v>
      </c>
      <c r="G53" s="9">
        <v>2</v>
      </c>
      <c r="H53" s="9">
        <v>16</v>
      </c>
      <c r="I53" s="9">
        <v>0.6</v>
      </c>
      <c r="J53" s="9">
        <v>23.4</v>
      </c>
      <c r="K53" s="9">
        <v>28.5</v>
      </c>
      <c r="L53" s="9">
        <v>23</v>
      </c>
      <c r="M53" s="19">
        <f t="shared" si="0"/>
        <v>24.966666666666669</v>
      </c>
    </row>
    <row r="54" spans="1:13" x14ac:dyDescent="0.3">
      <c r="A54" s="8">
        <v>42</v>
      </c>
      <c r="B54" s="9">
        <v>4</v>
      </c>
      <c r="C54" s="9">
        <v>1</v>
      </c>
      <c r="D54" s="9">
        <v>4.5</v>
      </c>
      <c r="E54" s="9">
        <v>4.5</v>
      </c>
      <c r="F54" s="9">
        <v>74</v>
      </c>
      <c r="G54" s="9">
        <v>3</v>
      </c>
      <c r="H54" s="9">
        <v>29</v>
      </c>
      <c r="I54" s="9">
        <v>0.55000000000000004</v>
      </c>
      <c r="J54" s="9">
        <v>28.4</v>
      </c>
      <c r="K54" s="9">
        <v>29.5</v>
      </c>
      <c r="L54" s="9">
        <v>26.4</v>
      </c>
      <c r="M54" s="19">
        <f t="shared" si="0"/>
        <v>28.099999999999998</v>
      </c>
    </row>
    <row r="55" spans="1:13" x14ac:dyDescent="0.3">
      <c r="A55" s="8">
        <v>43</v>
      </c>
      <c r="B55" s="9">
        <v>4</v>
      </c>
      <c r="C55" s="9">
        <v>4</v>
      </c>
      <c r="D55" s="9">
        <v>5.5</v>
      </c>
      <c r="E55" s="9">
        <v>6</v>
      </c>
      <c r="F55" s="9">
        <v>75</v>
      </c>
      <c r="G55" s="9">
        <v>2</v>
      </c>
      <c r="H55" s="9">
        <v>15</v>
      </c>
      <c r="I55" s="9">
        <v>0.59</v>
      </c>
      <c r="J55" s="9">
        <v>24.6</v>
      </c>
      <c r="K55" s="9">
        <v>20.5</v>
      </c>
      <c r="L55" s="9">
        <v>25.4</v>
      </c>
      <c r="M55" s="19">
        <f t="shared" si="0"/>
        <v>23.5</v>
      </c>
    </row>
    <row r="56" spans="1:13" x14ac:dyDescent="0.3">
      <c r="A56" s="8">
        <v>44</v>
      </c>
      <c r="B56" s="9">
        <v>4</v>
      </c>
      <c r="C56" s="9">
        <v>3</v>
      </c>
      <c r="D56" s="9">
        <v>5.5</v>
      </c>
      <c r="E56" s="9">
        <v>6</v>
      </c>
      <c r="F56" s="9">
        <v>83</v>
      </c>
      <c r="G56" s="9">
        <v>2</v>
      </c>
      <c r="H56" s="9">
        <v>11</v>
      </c>
      <c r="I56" s="9">
        <v>0.57999999999999996</v>
      </c>
      <c r="J56" s="9">
        <v>31.3</v>
      </c>
      <c r="K56" s="9">
        <v>28.5</v>
      </c>
      <c r="L56" s="9">
        <v>30.8</v>
      </c>
      <c r="M56" s="19">
        <f t="shared" si="0"/>
        <v>30.2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6"/>
  <sheetViews>
    <sheetView topLeftCell="A3" zoomScaleNormal="100" workbookViewId="0">
      <selection activeCell="R14" sqref="R14"/>
    </sheetView>
  </sheetViews>
  <sheetFormatPr defaultRowHeight="14.4" x14ac:dyDescent="0.3"/>
  <sheetData>
    <row r="1" spans="1:13" x14ac:dyDescent="0.3">
      <c r="A1" t="s">
        <v>7</v>
      </c>
      <c r="C1" t="s">
        <v>8</v>
      </c>
    </row>
    <row r="2" spans="1:13" x14ac:dyDescent="0.3">
      <c r="A2" s="1" t="s">
        <v>13</v>
      </c>
      <c r="B2" t="s">
        <v>48</v>
      </c>
    </row>
    <row r="3" spans="1:13" x14ac:dyDescent="0.3">
      <c r="A3" s="1" t="s">
        <v>12</v>
      </c>
      <c r="B3" t="s">
        <v>24</v>
      </c>
    </row>
    <row r="4" spans="1:13" x14ac:dyDescent="0.3">
      <c r="A4" s="1" t="s">
        <v>11</v>
      </c>
      <c r="B4" t="s">
        <v>49</v>
      </c>
    </row>
    <row r="5" spans="1:13" x14ac:dyDescent="0.3">
      <c r="A5" t="s">
        <v>6</v>
      </c>
    </row>
    <row r="6" spans="1:13" ht="15" thickBot="1" x14ac:dyDescent="0.35">
      <c r="A6" s="1" t="s">
        <v>0</v>
      </c>
    </row>
    <row r="7" spans="1:13" ht="15" thickBot="1" x14ac:dyDescent="0.35">
      <c r="A7" s="1"/>
      <c r="J7" s="12"/>
      <c r="K7" s="13" t="s">
        <v>9</v>
      </c>
      <c r="L7" s="14"/>
      <c r="M7" s="15"/>
    </row>
    <row r="8" spans="1:13" ht="15" thickBot="1" x14ac:dyDescent="0.35">
      <c r="A8" s="2" t="s">
        <v>1</v>
      </c>
      <c r="B8" s="3" t="s">
        <v>2</v>
      </c>
      <c r="C8" s="4" t="s">
        <v>3</v>
      </c>
      <c r="D8" s="2" t="s">
        <v>4</v>
      </c>
      <c r="E8" s="3" t="s">
        <v>5</v>
      </c>
      <c r="F8" s="3" t="s">
        <v>16</v>
      </c>
      <c r="G8" s="3" t="s">
        <v>14</v>
      </c>
      <c r="H8" s="3" t="s">
        <v>15</v>
      </c>
      <c r="I8" s="3" t="s">
        <v>10</v>
      </c>
      <c r="J8" s="16" t="s">
        <v>18</v>
      </c>
      <c r="K8" s="16" t="s">
        <v>19</v>
      </c>
      <c r="L8" s="16" t="s">
        <v>20</v>
      </c>
      <c r="M8" s="16" t="s">
        <v>21</v>
      </c>
    </row>
    <row r="9" spans="1:13" x14ac:dyDescent="0.3">
      <c r="A9" s="5">
        <v>1</v>
      </c>
      <c r="B9" s="5">
        <v>1</v>
      </c>
      <c r="C9" s="5">
        <v>8</v>
      </c>
      <c r="D9" s="6">
        <v>5</v>
      </c>
      <c r="E9" s="6">
        <v>5</v>
      </c>
      <c r="F9" s="6">
        <v>86</v>
      </c>
      <c r="G9" s="6">
        <v>2</v>
      </c>
      <c r="H9" s="6">
        <v>8</v>
      </c>
      <c r="I9" s="6">
        <v>0.68</v>
      </c>
      <c r="J9" s="6">
        <v>35</v>
      </c>
      <c r="K9" s="6">
        <v>19.899999999999999</v>
      </c>
      <c r="L9" s="6">
        <v>18.7</v>
      </c>
      <c r="M9" s="17">
        <f>AVERAGE(J9, K9, L9)</f>
        <v>24.533333333333331</v>
      </c>
    </row>
    <row r="10" spans="1:13" x14ac:dyDescent="0.3">
      <c r="A10" s="5">
        <v>2</v>
      </c>
      <c r="B10" s="5">
        <v>1</v>
      </c>
      <c r="C10" s="6">
        <v>9</v>
      </c>
      <c r="D10" s="6">
        <v>4.5</v>
      </c>
      <c r="E10" s="6">
        <v>4.5</v>
      </c>
      <c r="F10" s="6">
        <v>84</v>
      </c>
      <c r="G10" s="6">
        <v>2</v>
      </c>
      <c r="H10" s="6">
        <v>10</v>
      </c>
      <c r="I10" s="6">
        <v>0.68</v>
      </c>
      <c r="J10" s="6">
        <v>38.9</v>
      </c>
      <c r="K10" s="6">
        <v>21.5</v>
      </c>
      <c r="L10" s="7">
        <v>31</v>
      </c>
      <c r="M10" s="17">
        <f t="shared" ref="M10:M20" si="0">AVERAGE(J10, K10, L10)</f>
        <v>30.466666666666669</v>
      </c>
    </row>
    <row r="11" spans="1:13" x14ac:dyDescent="0.3">
      <c r="A11" s="5">
        <v>3</v>
      </c>
      <c r="B11" s="5">
        <v>1</v>
      </c>
      <c r="C11" s="6">
        <v>7</v>
      </c>
      <c r="D11" s="6">
        <v>5</v>
      </c>
      <c r="E11" s="6">
        <v>5.5</v>
      </c>
      <c r="F11" s="6">
        <v>90</v>
      </c>
      <c r="G11" s="6">
        <v>1</v>
      </c>
      <c r="H11" s="6">
        <v>7</v>
      </c>
      <c r="I11" s="6">
        <v>0.72</v>
      </c>
      <c r="J11" s="6">
        <v>32.1</v>
      </c>
      <c r="K11" s="6">
        <v>26.8</v>
      </c>
      <c r="L11" s="6">
        <v>23</v>
      </c>
      <c r="M11" s="17">
        <f t="shared" si="0"/>
        <v>27.3</v>
      </c>
    </row>
    <row r="12" spans="1:13" x14ac:dyDescent="0.3">
      <c r="A12" s="5">
        <v>4</v>
      </c>
      <c r="B12" s="5">
        <v>1</v>
      </c>
      <c r="C12" s="6">
        <v>3</v>
      </c>
      <c r="D12" s="6">
        <v>5</v>
      </c>
      <c r="E12" s="6">
        <v>5</v>
      </c>
      <c r="F12" s="6">
        <v>94</v>
      </c>
      <c r="G12" s="6">
        <v>1</v>
      </c>
      <c r="H12" s="6">
        <v>5</v>
      </c>
      <c r="I12" s="6">
        <v>0.74</v>
      </c>
      <c r="J12" s="6">
        <v>32.700000000000003</v>
      </c>
      <c r="K12" s="6">
        <v>25.5</v>
      </c>
      <c r="L12" s="6">
        <v>25</v>
      </c>
      <c r="M12" s="17">
        <f t="shared" si="0"/>
        <v>27.733333333333334</v>
      </c>
    </row>
    <row r="13" spans="1:13" x14ac:dyDescent="0.3">
      <c r="A13" s="11" t="s">
        <v>17</v>
      </c>
      <c r="B13" s="11" t="s">
        <v>17</v>
      </c>
      <c r="C13" s="11" t="s">
        <v>17</v>
      </c>
      <c r="D13" s="11" t="s">
        <v>17</v>
      </c>
      <c r="E13" s="11" t="s">
        <v>17</v>
      </c>
      <c r="F13" s="11" t="s">
        <v>17</v>
      </c>
      <c r="G13" s="11" t="s">
        <v>17</v>
      </c>
      <c r="H13" s="11" t="s">
        <v>17</v>
      </c>
      <c r="I13" s="11" t="s">
        <v>17</v>
      </c>
      <c r="J13" s="11" t="s">
        <v>17</v>
      </c>
      <c r="K13" s="11" t="s">
        <v>17</v>
      </c>
      <c r="L13" s="11" t="s">
        <v>17</v>
      </c>
      <c r="M13" s="11" t="s">
        <v>17</v>
      </c>
    </row>
    <row r="14" spans="1:13" x14ac:dyDescent="0.3">
      <c r="A14" s="5">
        <v>5</v>
      </c>
      <c r="B14" s="5">
        <v>1</v>
      </c>
      <c r="C14" s="6">
        <v>2</v>
      </c>
      <c r="D14" s="6">
        <v>5.5</v>
      </c>
      <c r="E14" s="6">
        <v>5.5</v>
      </c>
      <c r="F14" s="6">
        <v>94</v>
      </c>
      <c r="G14" s="6">
        <v>1</v>
      </c>
      <c r="H14" s="6">
        <v>3</v>
      </c>
      <c r="I14" s="6">
        <v>0.73</v>
      </c>
      <c r="J14" s="6">
        <v>38</v>
      </c>
      <c r="K14" s="6">
        <v>20.8</v>
      </c>
      <c r="L14" s="6">
        <v>30.5</v>
      </c>
      <c r="M14" s="17">
        <f>AVERAGE(J14, K14, L14)</f>
        <v>29.766666666666666</v>
      </c>
    </row>
    <row r="15" spans="1:13" x14ac:dyDescent="0.3">
      <c r="A15" s="5">
        <v>6</v>
      </c>
      <c r="B15" s="5">
        <v>1</v>
      </c>
      <c r="C15" s="6">
        <v>10</v>
      </c>
      <c r="D15" s="6">
        <v>4.5</v>
      </c>
      <c r="E15" s="6">
        <v>4.5</v>
      </c>
      <c r="F15" s="6">
        <v>83</v>
      </c>
      <c r="G15" s="6">
        <v>2</v>
      </c>
      <c r="H15" s="6">
        <v>11</v>
      </c>
      <c r="I15" s="6">
        <v>0.71</v>
      </c>
      <c r="J15" s="6">
        <v>38.4</v>
      </c>
      <c r="K15" s="6">
        <v>24.2</v>
      </c>
      <c r="L15" s="6">
        <v>22.6</v>
      </c>
      <c r="M15" s="17">
        <f t="shared" si="0"/>
        <v>28.399999999999995</v>
      </c>
    </row>
    <row r="16" spans="1:13" x14ac:dyDescent="0.3">
      <c r="A16" s="5">
        <v>7</v>
      </c>
      <c r="B16" s="5">
        <v>1</v>
      </c>
      <c r="C16" s="6">
        <v>4</v>
      </c>
      <c r="D16" s="6">
        <v>5</v>
      </c>
      <c r="E16" s="6">
        <v>4.5</v>
      </c>
      <c r="F16" s="6">
        <v>80</v>
      </c>
      <c r="G16" s="6">
        <v>2</v>
      </c>
      <c r="H16" s="6">
        <v>9</v>
      </c>
      <c r="I16" s="6">
        <v>0.72</v>
      </c>
      <c r="J16" s="6">
        <v>32</v>
      </c>
      <c r="K16" s="6">
        <v>23.9</v>
      </c>
      <c r="L16" s="6">
        <v>23.9</v>
      </c>
      <c r="M16" s="17">
        <f t="shared" si="0"/>
        <v>26.599999999999998</v>
      </c>
    </row>
    <row r="17" spans="1:13" x14ac:dyDescent="0.3">
      <c r="A17" s="5">
        <v>8</v>
      </c>
      <c r="B17" s="5">
        <v>1</v>
      </c>
      <c r="C17" s="6">
        <v>5</v>
      </c>
      <c r="D17" s="6">
        <v>5.5</v>
      </c>
      <c r="E17" s="6">
        <v>6</v>
      </c>
      <c r="F17" s="6">
        <v>94</v>
      </c>
      <c r="G17" s="6">
        <v>1</v>
      </c>
      <c r="H17" s="6">
        <v>3</v>
      </c>
      <c r="I17" s="6">
        <v>0.77</v>
      </c>
      <c r="J17" s="6">
        <v>34.700000000000003</v>
      </c>
      <c r="K17" s="6">
        <v>27.2</v>
      </c>
      <c r="L17" s="6">
        <v>21.9</v>
      </c>
      <c r="M17" s="17">
        <f>AVERAGE(J17, K17, L17)</f>
        <v>27.933333333333337</v>
      </c>
    </row>
    <row r="18" spans="1:13" x14ac:dyDescent="0.3">
      <c r="A18" s="5">
        <v>9</v>
      </c>
      <c r="B18" s="5">
        <v>1</v>
      </c>
      <c r="C18" s="6">
        <v>11</v>
      </c>
      <c r="D18" s="6">
        <v>5</v>
      </c>
      <c r="E18" s="6">
        <v>5</v>
      </c>
      <c r="F18" s="6">
        <v>92</v>
      </c>
      <c r="G18" s="6">
        <v>1</v>
      </c>
      <c r="H18" s="6">
        <v>5</v>
      </c>
      <c r="I18" s="6">
        <v>0.73</v>
      </c>
      <c r="J18" s="6">
        <v>31.7</v>
      </c>
      <c r="K18" s="6">
        <v>19.8</v>
      </c>
      <c r="L18" s="6">
        <v>16.7</v>
      </c>
      <c r="M18" s="17">
        <f t="shared" si="0"/>
        <v>22.733333333333334</v>
      </c>
    </row>
    <row r="19" spans="1:13" x14ac:dyDescent="0.3">
      <c r="A19" s="5">
        <v>10</v>
      </c>
      <c r="B19" s="5">
        <v>1</v>
      </c>
      <c r="C19" s="6">
        <v>1</v>
      </c>
      <c r="D19" s="6">
        <v>5</v>
      </c>
      <c r="E19" s="6">
        <v>6</v>
      </c>
      <c r="F19" s="6">
        <v>97</v>
      </c>
      <c r="G19" s="6">
        <v>1</v>
      </c>
      <c r="H19" s="6">
        <v>2</v>
      </c>
      <c r="I19" s="6">
        <v>0.77</v>
      </c>
      <c r="J19" s="6">
        <v>35.9</v>
      </c>
      <c r="K19" s="6">
        <v>24.6</v>
      </c>
      <c r="L19" s="6">
        <v>19.3</v>
      </c>
      <c r="M19" s="17">
        <f t="shared" si="0"/>
        <v>26.599999999999998</v>
      </c>
    </row>
    <row r="20" spans="1:13" x14ac:dyDescent="0.3">
      <c r="A20" s="5">
        <v>11</v>
      </c>
      <c r="B20" s="5">
        <v>1</v>
      </c>
      <c r="C20" s="6">
        <v>6</v>
      </c>
      <c r="D20" s="6">
        <v>5</v>
      </c>
      <c r="E20" s="6">
        <v>4.5</v>
      </c>
      <c r="F20" s="6">
        <v>87</v>
      </c>
      <c r="G20" s="6">
        <v>2</v>
      </c>
      <c r="H20" s="6">
        <v>13</v>
      </c>
      <c r="I20" s="6">
        <v>0.7</v>
      </c>
      <c r="J20" s="6">
        <v>21.8</v>
      </c>
      <c r="K20" s="6">
        <v>16.7</v>
      </c>
      <c r="L20" s="6">
        <v>24.4</v>
      </c>
      <c r="M20" s="17">
        <f t="shared" si="0"/>
        <v>20.966666666666665</v>
      </c>
    </row>
    <row r="21" spans="1:13" x14ac:dyDescent="0.3">
      <c r="A21" s="8">
        <v>12</v>
      </c>
      <c r="B21" s="8">
        <v>2</v>
      </c>
      <c r="C21" s="9">
        <v>1</v>
      </c>
      <c r="D21" s="9">
        <v>4.5</v>
      </c>
      <c r="E21" s="9">
        <v>4.5</v>
      </c>
      <c r="F21" s="9">
        <v>84</v>
      </c>
      <c r="G21" s="9">
        <v>2</v>
      </c>
      <c r="H21" s="9">
        <v>14</v>
      </c>
      <c r="I21" s="9">
        <v>0.73</v>
      </c>
      <c r="J21" s="9">
        <v>31.2</v>
      </c>
      <c r="K21" s="9">
        <v>20.8</v>
      </c>
      <c r="L21" s="9">
        <v>21.7</v>
      </c>
      <c r="M21" s="19">
        <f>AVERAGE(J21, K21, L21)</f>
        <v>24.566666666666666</v>
      </c>
    </row>
    <row r="22" spans="1:13" x14ac:dyDescent="0.3">
      <c r="A22" s="8">
        <v>13</v>
      </c>
      <c r="B22" s="8">
        <v>2</v>
      </c>
      <c r="C22" s="9">
        <v>6</v>
      </c>
      <c r="D22" s="9">
        <v>4.5</v>
      </c>
      <c r="E22" s="9">
        <v>4.5</v>
      </c>
      <c r="F22" s="9">
        <v>89</v>
      </c>
      <c r="G22" s="9">
        <v>2</v>
      </c>
      <c r="H22" s="9">
        <v>12</v>
      </c>
      <c r="I22" s="9">
        <v>0.73</v>
      </c>
      <c r="J22" s="9">
        <v>29.1</v>
      </c>
      <c r="K22" s="9">
        <v>24</v>
      </c>
      <c r="L22" s="9">
        <v>27.4</v>
      </c>
      <c r="M22" s="19">
        <f>AVERAGE(J22, K22, L22)</f>
        <v>26.833333333333332</v>
      </c>
    </row>
    <row r="23" spans="1:13" x14ac:dyDescent="0.3">
      <c r="A23" s="11" t="s">
        <v>17</v>
      </c>
      <c r="B23" s="11" t="s">
        <v>17</v>
      </c>
      <c r="C23" s="11" t="s">
        <v>17</v>
      </c>
      <c r="D23" s="11" t="s">
        <v>17</v>
      </c>
      <c r="E23" s="11" t="s">
        <v>17</v>
      </c>
      <c r="F23" s="11" t="s">
        <v>17</v>
      </c>
      <c r="G23" s="11" t="s">
        <v>17</v>
      </c>
      <c r="H23" s="11" t="s">
        <v>17</v>
      </c>
      <c r="I23" s="11" t="s">
        <v>17</v>
      </c>
      <c r="J23" s="11" t="s">
        <v>17</v>
      </c>
      <c r="K23" s="11" t="s">
        <v>17</v>
      </c>
      <c r="L23" s="11" t="s">
        <v>17</v>
      </c>
      <c r="M23" s="11" t="s">
        <v>17</v>
      </c>
    </row>
    <row r="24" spans="1:13" x14ac:dyDescent="0.3">
      <c r="A24" s="8">
        <v>14</v>
      </c>
      <c r="B24" s="8">
        <v>2</v>
      </c>
      <c r="C24" s="9">
        <v>10</v>
      </c>
      <c r="D24" s="9">
        <v>6</v>
      </c>
      <c r="E24" s="9">
        <v>6</v>
      </c>
      <c r="F24" s="9">
        <v>95</v>
      </c>
      <c r="G24" s="9">
        <v>1</v>
      </c>
      <c r="H24" s="9">
        <v>4</v>
      </c>
      <c r="I24" s="9">
        <v>0.8</v>
      </c>
      <c r="J24" s="9">
        <v>34.1</v>
      </c>
      <c r="K24" s="9">
        <v>18.8</v>
      </c>
      <c r="L24" s="10">
        <v>21.2</v>
      </c>
      <c r="M24" s="19">
        <f>AVERAGE(J24, K24, L24)</f>
        <v>24.700000000000003</v>
      </c>
    </row>
    <row r="25" spans="1:13" x14ac:dyDescent="0.3">
      <c r="A25" s="8">
        <v>15</v>
      </c>
      <c r="B25" s="8">
        <v>2</v>
      </c>
      <c r="C25" s="9">
        <v>3</v>
      </c>
      <c r="D25" s="9">
        <v>5.5</v>
      </c>
      <c r="E25" s="9">
        <v>5.5</v>
      </c>
      <c r="F25" s="9">
        <v>93</v>
      </c>
      <c r="G25" s="9">
        <v>1</v>
      </c>
      <c r="H25" s="9">
        <v>5</v>
      </c>
      <c r="I25" s="9">
        <v>0.77</v>
      </c>
      <c r="J25" s="9">
        <v>32.9</v>
      </c>
      <c r="K25" s="9">
        <v>32.9</v>
      </c>
      <c r="L25" s="9">
        <v>21.7</v>
      </c>
      <c r="M25" s="19">
        <f t="shared" ref="M25:M44" si="1">AVERAGE(J25, K25, L25)</f>
        <v>29.166666666666668</v>
      </c>
    </row>
    <row r="26" spans="1:13" x14ac:dyDescent="0.3">
      <c r="A26" s="8">
        <v>16</v>
      </c>
      <c r="B26" s="8">
        <v>2</v>
      </c>
      <c r="C26" s="9">
        <v>4</v>
      </c>
      <c r="D26" s="9">
        <v>4.5</v>
      </c>
      <c r="E26" s="9">
        <v>5</v>
      </c>
      <c r="F26" s="9">
        <v>88</v>
      </c>
      <c r="G26" s="9">
        <v>1</v>
      </c>
      <c r="H26" s="9">
        <v>10</v>
      </c>
      <c r="I26" s="9">
        <v>0.73</v>
      </c>
      <c r="J26" s="9">
        <v>28.4</v>
      </c>
      <c r="K26" s="9">
        <v>21.3</v>
      </c>
      <c r="L26" s="9">
        <v>20.100000000000001</v>
      </c>
      <c r="M26" s="19">
        <f t="shared" si="1"/>
        <v>23.266666666666669</v>
      </c>
    </row>
    <row r="27" spans="1:13" x14ac:dyDescent="0.3">
      <c r="A27" s="8">
        <v>17</v>
      </c>
      <c r="B27" s="8">
        <v>2</v>
      </c>
      <c r="C27" s="9">
        <v>2</v>
      </c>
      <c r="D27" s="9">
        <v>5</v>
      </c>
      <c r="E27" s="9">
        <v>5</v>
      </c>
      <c r="F27" s="9">
        <v>92</v>
      </c>
      <c r="G27" s="9">
        <v>1</v>
      </c>
      <c r="H27" s="9">
        <v>6</v>
      </c>
      <c r="I27" s="9">
        <v>0.76</v>
      </c>
      <c r="J27" s="9">
        <v>24.1</v>
      </c>
      <c r="K27" s="9">
        <v>22.6</v>
      </c>
      <c r="L27" s="9">
        <v>25.6</v>
      </c>
      <c r="M27" s="19">
        <f t="shared" si="1"/>
        <v>24.100000000000005</v>
      </c>
    </row>
    <row r="28" spans="1:13" x14ac:dyDescent="0.3">
      <c r="A28" s="8">
        <v>18</v>
      </c>
      <c r="B28" s="8">
        <v>2</v>
      </c>
      <c r="C28" s="9">
        <v>11</v>
      </c>
      <c r="D28" s="9">
        <v>5</v>
      </c>
      <c r="E28" s="9">
        <v>5</v>
      </c>
      <c r="F28" s="9">
        <v>94</v>
      </c>
      <c r="G28" s="9">
        <v>1</v>
      </c>
      <c r="H28" s="9">
        <v>4</v>
      </c>
      <c r="I28" s="9">
        <v>0.76</v>
      </c>
      <c r="J28" s="9">
        <v>33.799999999999997</v>
      </c>
      <c r="K28" s="9">
        <v>29.1</v>
      </c>
      <c r="L28" s="9">
        <v>26.5</v>
      </c>
      <c r="M28" s="19">
        <f t="shared" si="1"/>
        <v>29.8</v>
      </c>
    </row>
    <row r="29" spans="1:13" x14ac:dyDescent="0.3">
      <c r="A29" s="8">
        <v>19</v>
      </c>
      <c r="B29" s="8">
        <v>2</v>
      </c>
      <c r="C29" s="9">
        <v>7</v>
      </c>
      <c r="D29" s="9">
        <v>5.5</v>
      </c>
      <c r="E29" s="9">
        <v>5</v>
      </c>
      <c r="F29" s="9">
        <v>93</v>
      </c>
      <c r="G29" s="9">
        <v>1</v>
      </c>
      <c r="H29" s="9">
        <v>5</v>
      </c>
      <c r="I29" s="9">
        <v>0.74</v>
      </c>
      <c r="J29" s="9">
        <v>34.1</v>
      </c>
      <c r="K29" s="9">
        <v>26.1</v>
      </c>
      <c r="L29" s="9">
        <v>25.9</v>
      </c>
      <c r="M29" s="19">
        <f t="shared" si="1"/>
        <v>28.7</v>
      </c>
    </row>
    <row r="30" spans="1:13" x14ac:dyDescent="0.3">
      <c r="A30" s="8">
        <v>20</v>
      </c>
      <c r="B30" s="8">
        <v>2</v>
      </c>
      <c r="C30" s="9">
        <v>9</v>
      </c>
      <c r="D30" s="10">
        <v>6</v>
      </c>
      <c r="E30" s="9">
        <v>5.5</v>
      </c>
      <c r="F30" s="9">
        <v>90</v>
      </c>
      <c r="G30" s="9">
        <v>1</v>
      </c>
      <c r="H30" s="9">
        <v>7</v>
      </c>
      <c r="I30" s="9">
        <v>0.73</v>
      </c>
      <c r="J30" s="9">
        <v>33.5</v>
      </c>
      <c r="K30" s="9">
        <v>26.2</v>
      </c>
      <c r="L30" s="9">
        <v>22.6</v>
      </c>
      <c r="M30" s="19">
        <f t="shared" si="1"/>
        <v>27.433333333333337</v>
      </c>
    </row>
    <row r="31" spans="1:13" x14ac:dyDescent="0.3">
      <c r="A31" s="8">
        <v>21</v>
      </c>
      <c r="B31" s="8">
        <v>2</v>
      </c>
      <c r="C31" s="9">
        <v>5</v>
      </c>
      <c r="D31" s="9">
        <v>5</v>
      </c>
      <c r="E31" s="9">
        <v>5.5</v>
      </c>
      <c r="F31" s="9">
        <v>92</v>
      </c>
      <c r="G31" s="9">
        <v>1</v>
      </c>
      <c r="H31" s="9">
        <v>4</v>
      </c>
      <c r="I31" s="9">
        <v>0.64</v>
      </c>
      <c r="J31" s="9">
        <v>32.4</v>
      </c>
      <c r="K31" s="9">
        <v>26.8</v>
      </c>
      <c r="L31" s="9">
        <v>25.9</v>
      </c>
      <c r="M31" s="19">
        <f t="shared" si="1"/>
        <v>28.366666666666664</v>
      </c>
    </row>
    <row r="32" spans="1:13" x14ac:dyDescent="0.3">
      <c r="A32" s="8">
        <v>22</v>
      </c>
      <c r="B32" s="8">
        <v>2</v>
      </c>
      <c r="C32" s="9">
        <v>8</v>
      </c>
      <c r="D32" s="9">
        <v>5.5</v>
      </c>
      <c r="E32" s="9">
        <v>5.5</v>
      </c>
      <c r="F32" s="9">
        <v>92</v>
      </c>
      <c r="G32" s="9">
        <v>2</v>
      </c>
      <c r="H32" s="9">
        <v>6</v>
      </c>
      <c r="I32" s="9">
        <v>0.73</v>
      </c>
      <c r="J32" s="9">
        <v>34.200000000000003</v>
      </c>
      <c r="K32" s="9">
        <v>24</v>
      </c>
      <c r="L32" s="9">
        <v>12</v>
      </c>
      <c r="M32" s="19">
        <f t="shared" si="1"/>
        <v>23.400000000000002</v>
      </c>
    </row>
    <row r="33" spans="1:13" x14ac:dyDescent="0.3">
      <c r="A33" s="5">
        <v>23</v>
      </c>
      <c r="B33" s="6">
        <v>3</v>
      </c>
      <c r="C33" s="6">
        <v>4</v>
      </c>
      <c r="D33" s="6">
        <v>5</v>
      </c>
      <c r="E33" s="6">
        <v>5</v>
      </c>
      <c r="F33" s="6">
        <v>93</v>
      </c>
      <c r="G33" s="6">
        <v>1</v>
      </c>
      <c r="H33" s="6">
        <v>5</v>
      </c>
      <c r="I33" s="6">
        <v>0.72</v>
      </c>
      <c r="J33" s="6">
        <v>37.700000000000003</v>
      </c>
      <c r="K33" s="6">
        <v>23.9</v>
      </c>
      <c r="L33" s="6">
        <v>26.8</v>
      </c>
      <c r="M33" s="17">
        <f t="shared" si="1"/>
        <v>29.466666666666669</v>
      </c>
    </row>
    <row r="34" spans="1:13" x14ac:dyDescent="0.3">
      <c r="A34" s="5">
        <v>24</v>
      </c>
      <c r="B34" s="6">
        <v>3</v>
      </c>
      <c r="C34" s="6">
        <v>1</v>
      </c>
      <c r="D34" s="6">
        <v>5</v>
      </c>
      <c r="E34" s="6">
        <v>5</v>
      </c>
      <c r="F34" s="6">
        <v>94</v>
      </c>
      <c r="G34" s="6">
        <v>1</v>
      </c>
      <c r="H34" s="6">
        <v>4</v>
      </c>
      <c r="I34" s="7">
        <v>0.7</v>
      </c>
      <c r="J34" s="7">
        <v>33.299999999999997</v>
      </c>
      <c r="K34" s="6">
        <v>25.2</v>
      </c>
      <c r="L34" s="6">
        <v>22.9</v>
      </c>
      <c r="M34" s="17">
        <f t="shared" si="1"/>
        <v>27.133333333333336</v>
      </c>
    </row>
    <row r="35" spans="1:13" x14ac:dyDescent="0.3">
      <c r="A35" s="5">
        <v>25</v>
      </c>
      <c r="B35" s="6">
        <v>3</v>
      </c>
      <c r="C35" s="6">
        <v>9</v>
      </c>
      <c r="D35" s="6">
        <v>5.5</v>
      </c>
      <c r="E35" s="6">
        <v>5.5</v>
      </c>
      <c r="F35" s="6">
        <v>96</v>
      </c>
      <c r="G35" s="6">
        <v>1</v>
      </c>
      <c r="H35" s="6">
        <v>3</v>
      </c>
      <c r="I35" s="6">
        <v>0.71</v>
      </c>
      <c r="J35" s="6">
        <v>32.700000000000003</v>
      </c>
      <c r="K35" s="6">
        <v>25.6</v>
      </c>
      <c r="L35" s="6">
        <v>21.7</v>
      </c>
      <c r="M35" s="17">
        <f t="shared" si="1"/>
        <v>26.666666666666668</v>
      </c>
    </row>
    <row r="36" spans="1:13" x14ac:dyDescent="0.3">
      <c r="A36" s="5">
        <v>26</v>
      </c>
      <c r="B36" s="6">
        <v>3</v>
      </c>
      <c r="C36" s="6">
        <v>2</v>
      </c>
      <c r="D36" s="6">
        <v>6</v>
      </c>
      <c r="E36" s="6">
        <v>6</v>
      </c>
      <c r="F36" s="6">
        <v>95</v>
      </c>
      <c r="G36" s="6">
        <v>1</v>
      </c>
      <c r="H36" s="6">
        <v>5</v>
      </c>
      <c r="I36" s="6">
        <v>0.69</v>
      </c>
      <c r="J36" s="6">
        <v>29.5</v>
      </c>
      <c r="K36" s="6">
        <v>22.6</v>
      </c>
      <c r="L36" s="6">
        <v>20.8</v>
      </c>
      <c r="M36" s="17">
        <f t="shared" si="1"/>
        <v>24.3</v>
      </c>
    </row>
    <row r="37" spans="1:13" x14ac:dyDescent="0.3">
      <c r="A37" s="5">
        <v>27</v>
      </c>
      <c r="B37" s="6">
        <v>3</v>
      </c>
      <c r="C37" s="6">
        <v>6</v>
      </c>
      <c r="D37" s="6">
        <v>5</v>
      </c>
      <c r="E37" s="6">
        <v>5.5</v>
      </c>
      <c r="F37" s="6">
        <v>93</v>
      </c>
      <c r="G37" s="6">
        <v>1</v>
      </c>
      <c r="H37" s="6">
        <v>6</v>
      </c>
      <c r="I37" s="6">
        <v>0.72</v>
      </c>
      <c r="J37" s="6">
        <v>26.9</v>
      </c>
      <c r="K37" s="6">
        <v>20</v>
      </c>
      <c r="L37" s="6">
        <v>21.3</v>
      </c>
      <c r="M37" s="17">
        <f t="shared" si="1"/>
        <v>22.733333333333334</v>
      </c>
    </row>
    <row r="38" spans="1:13" x14ac:dyDescent="0.3">
      <c r="A38" s="5">
        <v>28</v>
      </c>
      <c r="B38" s="6">
        <v>3</v>
      </c>
      <c r="C38" s="6">
        <v>11</v>
      </c>
      <c r="D38" s="6">
        <v>6</v>
      </c>
      <c r="E38" s="6">
        <v>5.5</v>
      </c>
      <c r="F38" s="6">
        <v>95</v>
      </c>
      <c r="G38" s="6">
        <v>1</v>
      </c>
      <c r="H38" s="6">
        <v>4</v>
      </c>
      <c r="I38" s="6">
        <v>0.79</v>
      </c>
      <c r="J38" s="6">
        <v>21.3</v>
      </c>
      <c r="K38" s="6">
        <v>33.200000000000003</v>
      </c>
      <c r="L38" s="6">
        <v>24.6</v>
      </c>
      <c r="M38" s="17">
        <f t="shared" si="1"/>
        <v>26.366666666666664</v>
      </c>
    </row>
    <row r="39" spans="1:13" x14ac:dyDescent="0.3">
      <c r="A39" s="5">
        <v>29</v>
      </c>
      <c r="B39" s="6">
        <v>3</v>
      </c>
      <c r="C39" s="6">
        <v>5</v>
      </c>
      <c r="D39" s="6">
        <v>4.5</v>
      </c>
      <c r="E39" s="6">
        <v>5</v>
      </c>
      <c r="F39" s="6">
        <v>91</v>
      </c>
      <c r="G39" s="6">
        <v>1</v>
      </c>
      <c r="H39" s="6">
        <v>6</v>
      </c>
      <c r="I39" s="7">
        <v>0.72</v>
      </c>
      <c r="J39" s="6">
        <v>29.5</v>
      </c>
      <c r="K39" s="6">
        <v>27.2</v>
      </c>
      <c r="L39" s="6">
        <v>27.6</v>
      </c>
      <c r="M39" s="17">
        <f t="shared" si="1"/>
        <v>28.100000000000005</v>
      </c>
    </row>
    <row r="40" spans="1:13" x14ac:dyDescent="0.3">
      <c r="A40" s="11" t="s">
        <v>17</v>
      </c>
      <c r="B40" s="11" t="s">
        <v>17</v>
      </c>
      <c r="C40" s="11" t="s">
        <v>17</v>
      </c>
      <c r="D40" s="11" t="s">
        <v>17</v>
      </c>
      <c r="E40" s="11" t="s">
        <v>17</v>
      </c>
      <c r="F40" s="11" t="s">
        <v>17</v>
      </c>
      <c r="G40" s="11" t="s">
        <v>17</v>
      </c>
      <c r="H40" s="11" t="s">
        <v>17</v>
      </c>
      <c r="I40" s="11" t="s">
        <v>17</v>
      </c>
      <c r="J40" s="11" t="s">
        <v>17</v>
      </c>
      <c r="K40" s="11" t="s">
        <v>17</v>
      </c>
      <c r="L40" s="11" t="s">
        <v>17</v>
      </c>
      <c r="M40" s="11" t="s">
        <v>17</v>
      </c>
    </row>
    <row r="41" spans="1:13" x14ac:dyDescent="0.3">
      <c r="A41" s="5">
        <v>30</v>
      </c>
      <c r="B41" s="6">
        <v>3</v>
      </c>
      <c r="C41" s="6">
        <v>8</v>
      </c>
      <c r="D41" s="6">
        <v>6</v>
      </c>
      <c r="E41" s="6">
        <v>5</v>
      </c>
      <c r="F41" s="6">
        <v>97</v>
      </c>
      <c r="G41" s="6">
        <v>1</v>
      </c>
      <c r="H41" s="6">
        <v>2</v>
      </c>
      <c r="I41" s="6">
        <v>0.71</v>
      </c>
      <c r="J41" s="6">
        <v>32.1</v>
      </c>
      <c r="K41" s="6">
        <v>26.6</v>
      </c>
      <c r="L41" s="6">
        <v>22</v>
      </c>
      <c r="M41" s="17">
        <f t="shared" si="1"/>
        <v>26.900000000000002</v>
      </c>
    </row>
    <row r="42" spans="1:13" x14ac:dyDescent="0.3">
      <c r="A42" s="5">
        <v>31</v>
      </c>
      <c r="B42" s="6">
        <v>3</v>
      </c>
      <c r="C42" s="6">
        <v>3</v>
      </c>
      <c r="D42" s="6">
        <v>5.5</v>
      </c>
      <c r="E42" s="6">
        <v>5.5</v>
      </c>
      <c r="F42" s="6">
        <v>98</v>
      </c>
      <c r="G42" s="6">
        <v>1</v>
      </c>
      <c r="H42" s="6">
        <v>1</v>
      </c>
      <c r="I42" s="6">
        <v>0.74</v>
      </c>
      <c r="J42" s="6">
        <v>36.4</v>
      </c>
      <c r="K42" s="6">
        <v>25.5</v>
      </c>
      <c r="L42" s="6">
        <v>25.5</v>
      </c>
      <c r="M42" s="17">
        <f t="shared" si="1"/>
        <v>29.133333333333336</v>
      </c>
    </row>
    <row r="43" spans="1:13" x14ac:dyDescent="0.3">
      <c r="A43" s="5">
        <v>32</v>
      </c>
      <c r="B43" s="6">
        <v>3</v>
      </c>
      <c r="C43" s="6">
        <v>7</v>
      </c>
      <c r="D43" s="6">
        <v>5.5</v>
      </c>
      <c r="E43" s="6">
        <v>5.5</v>
      </c>
      <c r="F43" s="6">
        <v>96</v>
      </c>
      <c r="G43" s="6">
        <v>1</v>
      </c>
      <c r="H43" s="6">
        <v>3</v>
      </c>
      <c r="I43" s="6">
        <v>0.75</v>
      </c>
      <c r="J43" s="6">
        <v>34.6</v>
      </c>
      <c r="K43" s="6">
        <v>25.4</v>
      </c>
      <c r="L43" s="6">
        <v>21.9</v>
      </c>
      <c r="M43" s="17">
        <f t="shared" si="1"/>
        <v>27.3</v>
      </c>
    </row>
    <row r="44" spans="1:13" x14ac:dyDescent="0.3">
      <c r="A44" s="5">
        <v>33</v>
      </c>
      <c r="B44" s="6">
        <v>3</v>
      </c>
      <c r="C44" s="6">
        <v>10</v>
      </c>
      <c r="D44" s="6">
        <v>5.5</v>
      </c>
      <c r="E44" s="6">
        <v>6</v>
      </c>
      <c r="F44" s="6">
        <v>99</v>
      </c>
      <c r="G44" s="6">
        <v>1</v>
      </c>
      <c r="H44" s="6">
        <v>1</v>
      </c>
      <c r="I44" s="6">
        <v>0.78</v>
      </c>
      <c r="J44" s="6">
        <v>29</v>
      </c>
      <c r="K44" s="6">
        <v>23.7</v>
      </c>
      <c r="L44" s="7">
        <v>21.9</v>
      </c>
      <c r="M44" s="17">
        <f t="shared" si="1"/>
        <v>24.866666666666664</v>
      </c>
    </row>
    <row r="45" spans="1:13" x14ac:dyDescent="0.3">
      <c r="A45" s="8">
        <v>34</v>
      </c>
      <c r="B45" s="9">
        <v>4</v>
      </c>
      <c r="C45" s="9">
        <v>7</v>
      </c>
      <c r="D45" s="10">
        <v>5</v>
      </c>
      <c r="E45" s="9">
        <v>5</v>
      </c>
      <c r="F45" s="9">
        <v>95</v>
      </c>
      <c r="G45" s="9">
        <v>1</v>
      </c>
      <c r="H45" s="9">
        <v>3</v>
      </c>
      <c r="I45" s="10">
        <v>0.69</v>
      </c>
      <c r="J45" s="9">
        <v>34.799999999999997</v>
      </c>
      <c r="K45" s="9">
        <v>23.2</v>
      </c>
      <c r="L45" s="10">
        <v>25.2</v>
      </c>
      <c r="M45" s="19">
        <f t="shared" ref="M45:M56" si="2">AVERAGE(J45, K45, L45)</f>
        <v>27.733333333333334</v>
      </c>
    </row>
    <row r="46" spans="1:13" x14ac:dyDescent="0.3">
      <c r="A46" s="8">
        <v>35</v>
      </c>
      <c r="B46" s="9">
        <v>4</v>
      </c>
      <c r="C46" s="9">
        <v>8</v>
      </c>
      <c r="D46" s="9">
        <v>5</v>
      </c>
      <c r="E46" s="9">
        <v>5</v>
      </c>
      <c r="F46" s="9">
        <v>95</v>
      </c>
      <c r="G46" s="9">
        <v>1</v>
      </c>
      <c r="H46" s="9">
        <v>4</v>
      </c>
      <c r="I46" s="9">
        <v>0.74</v>
      </c>
      <c r="J46" s="9">
        <v>35.6</v>
      </c>
      <c r="K46" s="9">
        <v>25.7</v>
      </c>
      <c r="L46" s="9">
        <v>25.8</v>
      </c>
      <c r="M46" s="19">
        <f t="shared" si="2"/>
        <v>29.033333333333331</v>
      </c>
    </row>
    <row r="47" spans="1:13" x14ac:dyDescent="0.3">
      <c r="A47" s="8">
        <v>36</v>
      </c>
      <c r="B47" s="9">
        <v>4</v>
      </c>
      <c r="C47" s="9">
        <v>11</v>
      </c>
      <c r="D47" s="9">
        <v>5.5</v>
      </c>
      <c r="E47" s="9">
        <v>5</v>
      </c>
      <c r="F47" s="9">
        <v>98</v>
      </c>
      <c r="G47" s="9">
        <v>1</v>
      </c>
      <c r="H47" s="9">
        <v>3</v>
      </c>
      <c r="I47" s="9">
        <v>0.75</v>
      </c>
      <c r="J47" s="9">
        <v>28.2</v>
      </c>
      <c r="K47" s="9">
        <v>29.6</v>
      </c>
      <c r="L47" s="9">
        <v>25</v>
      </c>
      <c r="M47" s="19">
        <f t="shared" si="2"/>
        <v>27.599999999999998</v>
      </c>
    </row>
    <row r="48" spans="1:13" x14ac:dyDescent="0.3">
      <c r="A48" s="8">
        <v>37</v>
      </c>
      <c r="B48" s="9">
        <v>4</v>
      </c>
      <c r="C48" s="9">
        <v>5</v>
      </c>
      <c r="D48" s="9">
        <v>5</v>
      </c>
      <c r="E48" s="9">
        <v>5.5</v>
      </c>
      <c r="F48" s="9">
        <v>98</v>
      </c>
      <c r="G48" s="9">
        <v>1</v>
      </c>
      <c r="H48" s="9">
        <v>1</v>
      </c>
      <c r="I48" s="9">
        <v>0.71</v>
      </c>
      <c r="J48" s="9">
        <v>31.7</v>
      </c>
      <c r="K48" s="9">
        <v>31.7</v>
      </c>
      <c r="L48" s="9">
        <v>24.8</v>
      </c>
      <c r="M48" s="19">
        <f t="shared" si="2"/>
        <v>29.400000000000002</v>
      </c>
    </row>
    <row r="49" spans="1:13" x14ac:dyDescent="0.3">
      <c r="A49" s="8">
        <v>38</v>
      </c>
      <c r="B49" s="9">
        <v>4</v>
      </c>
      <c r="C49" s="9">
        <v>9</v>
      </c>
      <c r="D49" s="9">
        <v>5.5</v>
      </c>
      <c r="E49" s="9">
        <v>5.5</v>
      </c>
      <c r="F49" s="9">
        <v>99</v>
      </c>
      <c r="G49" s="9">
        <v>1</v>
      </c>
      <c r="H49" s="9">
        <v>1</v>
      </c>
      <c r="I49" s="9">
        <v>0.65</v>
      </c>
      <c r="J49" s="9">
        <v>33.799999999999997</v>
      </c>
      <c r="K49" s="9">
        <v>24.7</v>
      </c>
      <c r="L49" s="9">
        <v>22.3</v>
      </c>
      <c r="M49" s="19">
        <f t="shared" si="2"/>
        <v>26.933333333333334</v>
      </c>
    </row>
    <row r="50" spans="1:13" x14ac:dyDescent="0.3">
      <c r="A50" s="11" t="s">
        <v>17</v>
      </c>
      <c r="B50" s="11" t="s">
        <v>17</v>
      </c>
      <c r="C50" s="11" t="s">
        <v>17</v>
      </c>
      <c r="D50" s="11" t="s">
        <v>17</v>
      </c>
      <c r="E50" s="11" t="s">
        <v>17</v>
      </c>
      <c r="F50" s="11" t="s">
        <v>17</v>
      </c>
      <c r="G50" s="11" t="s">
        <v>17</v>
      </c>
      <c r="H50" s="20" t="s">
        <v>17</v>
      </c>
      <c r="I50" s="11" t="s">
        <v>17</v>
      </c>
      <c r="J50" s="11" t="s">
        <v>17</v>
      </c>
      <c r="K50" s="11" t="s">
        <v>17</v>
      </c>
      <c r="L50" s="11" t="s">
        <v>17</v>
      </c>
      <c r="M50" s="11" t="s">
        <v>17</v>
      </c>
    </row>
    <row r="51" spans="1:13" x14ac:dyDescent="0.3">
      <c r="A51" s="8">
        <v>39</v>
      </c>
      <c r="B51" s="9">
        <v>4</v>
      </c>
      <c r="C51" s="9">
        <v>6</v>
      </c>
      <c r="D51" s="9">
        <v>5.5</v>
      </c>
      <c r="E51" s="9">
        <v>5.5</v>
      </c>
      <c r="F51" s="9">
        <v>96</v>
      </c>
      <c r="G51" s="9">
        <v>1</v>
      </c>
      <c r="H51" s="9">
        <v>2</v>
      </c>
      <c r="I51" s="9">
        <v>0.72</v>
      </c>
      <c r="J51" s="9">
        <v>33</v>
      </c>
      <c r="K51" s="9">
        <v>18.899999999999999</v>
      </c>
      <c r="L51" s="9">
        <v>16.600000000000001</v>
      </c>
      <c r="M51" s="19">
        <f t="shared" si="2"/>
        <v>22.833333333333332</v>
      </c>
    </row>
    <row r="52" spans="1:13" x14ac:dyDescent="0.3">
      <c r="A52" s="8">
        <v>40</v>
      </c>
      <c r="B52" s="9">
        <v>4</v>
      </c>
      <c r="C52" s="9">
        <v>2</v>
      </c>
      <c r="D52" s="9">
        <v>5</v>
      </c>
      <c r="E52" s="10">
        <v>5</v>
      </c>
      <c r="F52" s="9">
        <v>93</v>
      </c>
      <c r="G52" s="9">
        <v>1</v>
      </c>
      <c r="H52" s="9">
        <v>3</v>
      </c>
      <c r="I52" s="9">
        <v>0.69</v>
      </c>
      <c r="J52" s="10">
        <v>32.799999999999997</v>
      </c>
      <c r="K52" s="10">
        <v>29.5</v>
      </c>
      <c r="L52" s="9">
        <v>27.5</v>
      </c>
      <c r="M52" s="19">
        <f t="shared" si="2"/>
        <v>29.933333333333334</v>
      </c>
    </row>
    <row r="53" spans="1:13" x14ac:dyDescent="0.3">
      <c r="A53" s="8">
        <v>41</v>
      </c>
      <c r="B53" s="9">
        <v>4</v>
      </c>
      <c r="C53" s="9">
        <v>10</v>
      </c>
      <c r="D53" s="9">
        <v>6</v>
      </c>
      <c r="E53" s="9">
        <v>6</v>
      </c>
      <c r="F53" s="9">
        <v>97</v>
      </c>
      <c r="G53" s="9">
        <v>1</v>
      </c>
      <c r="H53" s="9">
        <v>3</v>
      </c>
      <c r="I53" s="9">
        <v>0.74</v>
      </c>
      <c r="J53" s="9">
        <v>36.200000000000003</v>
      </c>
      <c r="K53" s="9">
        <v>22</v>
      </c>
      <c r="L53" s="9">
        <v>21.7</v>
      </c>
      <c r="M53" s="19">
        <f t="shared" si="2"/>
        <v>26.633333333333336</v>
      </c>
    </row>
    <row r="54" spans="1:13" x14ac:dyDescent="0.3">
      <c r="A54" s="8">
        <v>42</v>
      </c>
      <c r="B54" s="9">
        <v>4</v>
      </c>
      <c r="C54" s="9">
        <v>1</v>
      </c>
      <c r="D54" s="9">
        <v>5.5</v>
      </c>
      <c r="E54" s="9">
        <v>5</v>
      </c>
      <c r="F54" s="9">
        <v>91</v>
      </c>
      <c r="G54" s="9">
        <v>1</v>
      </c>
      <c r="H54" s="9">
        <v>4</v>
      </c>
      <c r="I54" s="9">
        <v>0.71</v>
      </c>
      <c r="J54" s="9">
        <v>36.200000000000003</v>
      </c>
      <c r="K54" s="9">
        <v>22</v>
      </c>
      <c r="L54" s="9">
        <v>17.5</v>
      </c>
      <c r="M54" s="19">
        <f t="shared" si="2"/>
        <v>25.233333333333334</v>
      </c>
    </row>
    <row r="55" spans="1:13" x14ac:dyDescent="0.3">
      <c r="A55" s="8">
        <v>43</v>
      </c>
      <c r="B55" s="9">
        <v>4</v>
      </c>
      <c r="C55" s="9">
        <v>4</v>
      </c>
      <c r="D55" s="9">
        <v>5.5</v>
      </c>
      <c r="E55" s="9">
        <v>6</v>
      </c>
      <c r="F55" s="9">
        <v>93</v>
      </c>
      <c r="G55" s="9">
        <v>1</v>
      </c>
      <c r="H55" s="9">
        <v>6</v>
      </c>
      <c r="I55" s="9">
        <v>0.74</v>
      </c>
      <c r="J55" s="9">
        <v>24.9</v>
      </c>
      <c r="K55" s="9">
        <v>28.5</v>
      </c>
      <c r="L55" s="9">
        <v>17.899999999999999</v>
      </c>
      <c r="M55" s="19">
        <f t="shared" si="2"/>
        <v>23.766666666666666</v>
      </c>
    </row>
    <row r="56" spans="1:13" x14ac:dyDescent="0.3">
      <c r="A56" s="8">
        <v>44</v>
      </c>
      <c r="B56" s="9">
        <v>4</v>
      </c>
      <c r="C56" s="9">
        <v>3</v>
      </c>
      <c r="D56" s="9">
        <v>5.5</v>
      </c>
      <c r="E56" s="9">
        <v>5</v>
      </c>
      <c r="F56" s="9">
        <v>96</v>
      </c>
      <c r="G56" s="9">
        <v>1</v>
      </c>
      <c r="H56" s="9">
        <v>2</v>
      </c>
      <c r="I56" s="9">
        <v>0.73</v>
      </c>
      <c r="J56" s="9">
        <v>28.6</v>
      </c>
      <c r="K56" s="9">
        <v>29.7</v>
      </c>
      <c r="L56" s="9">
        <v>26.9</v>
      </c>
      <c r="M56" s="19">
        <f t="shared" si="2"/>
        <v>28.399999999999995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03D74-8051-4624-A2C1-C36F43E4764C}">
  <dimension ref="A1:M56"/>
  <sheetViews>
    <sheetView zoomScale="80" zoomScaleNormal="80" workbookViewId="0">
      <selection activeCell="R19" sqref="R19"/>
    </sheetView>
  </sheetViews>
  <sheetFormatPr defaultRowHeight="14.4" x14ac:dyDescent="0.3"/>
  <sheetData>
    <row r="1" spans="1:13" x14ac:dyDescent="0.3">
      <c r="A1" t="s">
        <v>7</v>
      </c>
      <c r="C1" t="s">
        <v>8</v>
      </c>
    </row>
    <row r="2" spans="1:13" x14ac:dyDescent="0.3">
      <c r="A2" s="1" t="s">
        <v>13</v>
      </c>
      <c r="B2" t="s">
        <v>50</v>
      </c>
    </row>
    <row r="3" spans="1:13" x14ac:dyDescent="0.3">
      <c r="A3" s="1" t="s">
        <v>12</v>
      </c>
      <c r="B3" t="s">
        <v>24</v>
      </c>
    </row>
    <row r="4" spans="1:13" x14ac:dyDescent="0.3">
      <c r="A4" s="1" t="s">
        <v>11</v>
      </c>
      <c r="B4" t="s">
        <v>25</v>
      </c>
    </row>
    <row r="5" spans="1:13" x14ac:dyDescent="0.3">
      <c r="A5" t="s">
        <v>6</v>
      </c>
      <c r="B5" t="s">
        <v>44</v>
      </c>
    </row>
    <row r="6" spans="1:13" ht="15" thickBot="1" x14ac:dyDescent="0.35">
      <c r="A6" s="1" t="s">
        <v>0</v>
      </c>
    </row>
    <row r="7" spans="1:13" ht="15" thickBot="1" x14ac:dyDescent="0.35">
      <c r="A7" s="1"/>
      <c r="J7" s="12"/>
      <c r="K7" s="13" t="s">
        <v>9</v>
      </c>
      <c r="L7" s="14"/>
      <c r="M7" s="15"/>
    </row>
    <row r="8" spans="1:13" ht="15" thickBot="1" x14ac:dyDescent="0.35">
      <c r="A8" s="2" t="s">
        <v>1</v>
      </c>
      <c r="B8" s="3" t="s">
        <v>2</v>
      </c>
      <c r="C8" s="4" t="s">
        <v>3</v>
      </c>
      <c r="D8" s="2" t="s">
        <v>4</v>
      </c>
      <c r="E8" s="3" t="s">
        <v>5</v>
      </c>
      <c r="F8" s="3" t="s">
        <v>16</v>
      </c>
      <c r="G8" s="3" t="s">
        <v>14</v>
      </c>
      <c r="H8" s="3" t="s">
        <v>15</v>
      </c>
      <c r="I8" s="3" t="s">
        <v>10</v>
      </c>
      <c r="J8" s="16" t="s">
        <v>18</v>
      </c>
      <c r="K8" s="16" t="s">
        <v>19</v>
      </c>
      <c r="L8" s="16" t="s">
        <v>20</v>
      </c>
      <c r="M8" s="16" t="s">
        <v>21</v>
      </c>
    </row>
    <row r="9" spans="1:13" x14ac:dyDescent="0.3">
      <c r="A9" s="5">
        <v>1</v>
      </c>
      <c r="B9" s="5">
        <v>1</v>
      </c>
      <c r="C9" s="5">
        <v>8</v>
      </c>
      <c r="D9" s="6">
        <v>5.5</v>
      </c>
      <c r="E9" s="6">
        <v>5.5</v>
      </c>
      <c r="F9" s="6">
        <v>76</v>
      </c>
      <c r="G9" s="6">
        <v>2</v>
      </c>
      <c r="H9" s="6">
        <v>13</v>
      </c>
      <c r="I9" s="6">
        <v>0.6</v>
      </c>
      <c r="J9" s="6">
        <v>15</v>
      </c>
      <c r="K9" s="6">
        <v>14.8</v>
      </c>
      <c r="L9" s="6">
        <v>16.2</v>
      </c>
      <c r="M9" s="17">
        <f>AVERAGE(J9, K9, L9)</f>
        <v>15.333333333333334</v>
      </c>
    </row>
    <row r="10" spans="1:13" x14ac:dyDescent="0.3">
      <c r="A10" s="5">
        <v>2</v>
      </c>
      <c r="B10" s="5">
        <v>1</v>
      </c>
      <c r="C10" s="6">
        <v>9</v>
      </c>
      <c r="D10" s="6">
        <v>5.5</v>
      </c>
      <c r="E10" s="6">
        <v>5.5</v>
      </c>
      <c r="F10" s="6">
        <v>77</v>
      </c>
      <c r="G10" s="6">
        <v>2</v>
      </c>
      <c r="H10" s="6">
        <v>10</v>
      </c>
      <c r="I10" s="6">
        <v>0.64</v>
      </c>
      <c r="J10" s="6">
        <v>18.100000000000001</v>
      </c>
      <c r="K10" s="6">
        <v>16.5</v>
      </c>
      <c r="L10" s="7">
        <v>15.5</v>
      </c>
      <c r="M10" s="17">
        <f t="shared" ref="M10:M20" si="0">AVERAGE(J10, K10, L10)</f>
        <v>16.7</v>
      </c>
    </row>
    <row r="11" spans="1:13" x14ac:dyDescent="0.3">
      <c r="A11" s="5">
        <v>3</v>
      </c>
      <c r="B11" s="5">
        <v>1</v>
      </c>
      <c r="C11" s="6">
        <v>7</v>
      </c>
      <c r="D11" s="6">
        <v>5.5</v>
      </c>
      <c r="E11" s="6">
        <v>5.5</v>
      </c>
      <c r="F11" s="6">
        <v>82</v>
      </c>
      <c r="G11" s="6">
        <v>2</v>
      </c>
      <c r="H11" s="6">
        <v>8</v>
      </c>
      <c r="I11" s="6">
        <v>0.69</v>
      </c>
      <c r="J11" s="6">
        <v>16.399999999999999</v>
      </c>
      <c r="K11" s="6">
        <v>16.399999999999999</v>
      </c>
      <c r="L11" s="6">
        <v>16.5</v>
      </c>
      <c r="M11" s="17">
        <f t="shared" si="0"/>
        <v>16.433333333333334</v>
      </c>
    </row>
    <row r="12" spans="1:13" x14ac:dyDescent="0.3">
      <c r="A12" s="5">
        <v>4</v>
      </c>
      <c r="B12" s="5">
        <v>1</v>
      </c>
      <c r="C12" s="6">
        <v>3</v>
      </c>
      <c r="D12" s="6">
        <v>5</v>
      </c>
      <c r="E12" s="6">
        <v>5</v>
      </c>
      <c r="F12" s="6">
        <v>82</v>
      </c>
      <c r="G12" s="6">
        <v>2</v>
      </c>
      <c r="H12" s="6">
        <v>15</v>
      </c>
      <c r="I12" s="6">
        <v>0.67</v>
      </c>
      <c r="J12" s="6">
        <v>16.3</v>
      </c>
      <c r="K12" s="6">
        <v>17.5</v>
      </c>
      <c r="L12" s="6">
        <v>17.2</v>
      </c>
      <c r="M12" s="17">
        <f t="shared" si="0"/>
        <v>17</v>
      </c>
    </row>
    <row r="13" spans="1:13" x14ac:dyDescent="0.3">
      <c r="A13" s="11" t="s">
        <v>17</v>
      </c>
      <c r="B13" s="11" t="s">
        <v>17</v>
      </c>
      <c r="C13" s="11" t="s">
        <v>17</v>
      </c>
      <c r="D13" s="11" t="s">
        <v>17</v>
      </c>
      <c r="E13" s="11" t="s">
        <v>17</v>
      </c>
      <c r="F13" s="11" t="s">
        <v>17</v>
      </c>
      <c r="G13" s="11" t="s">
        <v>17</v>
      </c>
      <c r="H13" s="11" t="s">
        <v>17</v>
      </c>
      <c r="I13" s="11" t="s">
        <v>17</v>
      </c>
      <c r="J13" s="11" t="s">
        <v>17</v>
      </c>
      <c r="K13" s="11" t="s">
        <v>17</v>
      </c>
      <c r="L13" s="11" t="s">
        <v>17</v>
      </c>
      <c r="M13" s="11" t="s">
        <v>17</v>
      </c>
    </row>
    <row r="14" spans="1:13" x14ac:dyDescent="0.3">
      <c r="A14" s="5">
        <v>5</v>
      </c>
      <c r="B14" s="5">
        <v>1</v>
      </c>
      <c r="C14" s="6">
        <v>2</v>
      </c>
      <c r="D14" s="6">
        <v>5.5</v>
      </c>
      <c r="E14" s="6">
        <v>5</v>
      </c>
      <c r="F14" s="6">
        <v>68</v>
      </c>
      <c r="G14" s="6">
        <v>3</v>
      </c>
      <c r="H14" s="6">
        <v>25</v>
      </c>
      <c r="I14" s="6">
        <v>0.65</v>
      </c>
      <c r="J14" s="6">
        <v>14.9</v>
      </c>
      <c r="K14" s="6">
        <v>18.399999999999999</v>
      </c>
      <c r="L14" s="7">
        <v>14.8</v>
      </c>
      <c r="M14" s="17">
        <f t="shared" si="0"/>
        <v>16.033333333333331</v>
      </c>
    </row>
    <row r="15" spans="1:13" x14ac:dyDescent="0.3">
      <c r="A15" s="5">
        <v>6</v>
      </c>
      <c r="B15" s="5">
        <v>1</v>
      </c>
      <c r="C15" s="6">
        <v>10</v>
      </c>
      <c r="D15" s="6">
        <v>5.5</v>
      </c>
      <c r="E15" s="6">
        <v>5.5</v>
      </c>
      <c r="F15" s="6">
        <v>76</v>
      </c>
      <c r="G15" s="6">
        <v>2</v>
      </c>
      <c r="H15" s="6">
        <v>14</v>
      </c>
      <c r="I15" s="6">
        <v>0.68</v>
      </c>
      <c r="J15" s="6">
        <v>17.899999999999999</v>
      </c>
      <c r="K15" s="6">
        <v>19.600000000000001</v>
      </c>
      <c r="L15" s="6">
        <v>16.899999999999999</v>
      </c>
      <c r="M15" s="17">
        <f t="shared" si="0"/>
        <v>18.133333333333333</v>
      </c>
    </row>
    <row r="16" spans="1:13" x14ac:dyDescent="0.3">
      <c r="A16" s="5">
        <v>7</v>
      </c>
      <c r="B16" s="5">
        <v>1</v>
      </c>
      <c r="C16" s="6">
        <v>4</v>
      </c>
      <c r="D16" s="6">
        <v>5.5</v>
      </c>
      <c r="E16" s="6">
        <v>5.5</v>
      </c>
      <c r="F16" s="6">
        <v>72</v>
      </c>
      <c r="G16" s="6">
        <v>3</v>
      </c>
      <c r="H16" s="6">
        <v>24</v>
      </c>
      <c r="I16" s="6">
        <v>0.6</v>
      </c>
      <c r="J16" s="7">
        <v>16.3</v>
      </c>
      <c r="K16" s="6">
        <v>17.3</v>
      </c>
      <c r="L16" s="6">
        <v>17.8</v>
      </c>
      <c r="M16" s="17">
        <f t="shared" si="0"/>
        <v>17.133333333333336</v>
      </c>
    </row>
    <row r="17" spans="1:13" x14ac:dyDescent="0.3">
      <c r="A17" s="5">
        <v>8</v>
      </c>
      <c r="B17" s="5">
        <v>1</v>
      </c>
      <c r="C17" s="6">
        <v>5</v>
      </c>
      <c r="D17" s="6">
        <v>5.5</v>
      </c>
      <c r="E17" s="6">
        <v>6</v>
      </c>
      <c r="F17" s="6">
        <v>82</v>
      </c>
      <c r="G17" s="6">
        <v>2</v>
      </c>
      <c r="H17" s="6">
        <v>5</v>
      </c>
      <c r="I17" s="6">
        <v>0.7</v>
      </c>
      <c r="J17" s="6">
        <v>16.5</v>
      </c>
      <c r="K17" s="6">
        <v>17.100000000000001</v>
      </c>
      <c r="L17" s="6">
        <v>18.399999999999999</v>
      </c>
      <c r="M17" s="17">
        <f t="shared" si="0"/>
        <v>17.333333333333332</v>
      </c>
    </row>
    <row r="18" spans="1:13" x14ac:dyDescent="0.3">
      <c r="A18" s="5">
        <v>9</v>
      </c>
      <c r="B18" s="5">
        <v>1</v>
      </c>
      <c r="C18" s="6">
        <v>11</v>
      </c>
      <c r="D18" s="6">
        <v>5</v>
      </c>
      <c r="E18" s="6">
        <v>5</v>
      </c>
      <c r="F18" s="6">
        <v>71</v>
      </c>
      <c r="G18" s="6">
        <v>2</v>
      </c>
      <c r="H18" s="6">
        <v>25</v>
      </c>
      <c r="I18" s="6">
        <v>0.66</v>
      </c>
      <c r="J18" s="6">
        <v>16.5</v>
      </c>
      <c r="K18" s="6">
        <v>14.4</v>
      </c>
      <c r="L18" s="6">
        <v>16.399999999999999</v>
      </c>
      <c r="M18" s="17">
        <f t="shared" si="0"/>
        <v>15.766666666666666</v>
      </c>
    </row>
    <row r="19" spans="1:13" x14ac:dyDescent="0.3">
      <c r="A19" s="5">
        <v>10</v>
      </c>
      <c r="B19" s="5">
        <v>1</v>
      </c>
      <c r="C19" s="6">
        <v>1</v>
      </c>
      <c r="D19" s="6">
        <v>5.5</v>
      </c>
      <c r="E19" s="6">
        <v>6</v>
      </c>
      <c r="F19" s="6">
        <v>81</v>
      </c>
      <c r="G19" s="6">
        <v>2</v>
      </c>
      <c r="H19" s="6">
        <v>13</v>
      </c>
      <c r="I19" s="6">
        <v>0.78</v>
      </c>
      <c r="J19" s="6">
        <v>12.1</v>
      </c>
      <c r="K19" s="6">
        <v>12.6</v>
      </c>
      <c r="L19" s="6">
        <v>12.5</v>
      </c>
      <c r="M19" s="17">
        <f t="shared" si="0"/>
        <v>12.4</v>
      </c>
    </row>
    <row r="20" spans="1:13" x14ac:dyDescent="0.3">
      <c r="A20" s="5">
        <v>11</v>
      </c>
      <c r="B20" s="5">
        <v>1</v>
      </c>
      <c r="C20" s="6">
        <v>6</v>
      </c>
      <c r="D20" s="6">
        <v>5</v>
      </c>
      <c r="E20" s="6">
        <v>5</v>
      </c>
      <c r="F20" s="6">
        <v>78</v>
      </c>
      <c r="G20" s="6">
        <v>3</v>
      </c>
      <c r="H20" s="6">
        <v>21</v>
      </c>
      <c r="I20" s="6">
        <v>0.63</v>
      </c>
      <c r="J20" s="6">
        <v>13</v>
      </c>
      <c r="K20" s="6">
        <v>11.6</v>
      </c>
      <c r="L20" s="6">
        <v>9.6</v>
      </c>
      <c r="M20" s="17">
        <f t="shared" si="0"/>
        <v>11.4</v>
      </c>
    </row>
    <row r="21" spans="1:13" x14ac:dyDescent="0.3">
      <c r="A21" s="8">
        <v>12</v>
      </c>
      <c r="B21" s="8">
        <v>2</v>
      </c>
      <c r="C21" s="9">
        <v>1</v>
      </c>
      <c r="D21" s="9">
        <v>4.5</v>
      </c>
      <c r="E21" s="9">
        <v>4.5</v>
      </c>
      <c r="F21" s="9">
        <v>67</v>
      </c>
      <c r="G21" s="9">
        <v>3</v>
      </c>
      <c r="H21" s="9">
        <v>31</v>
      </c>
      <c r="I21" s="9">
        <v>0.63</v>
      </c>
      <c r="J21" s="9">
        <v>18.3</v>
      </c>
      <c r="K21" s="9">
        <v>15.6</v>
      </c>
      <c r="L21" s="9">
        <v>15.6</v>
      </c>
      <c r="M21" s="19">
        <f>AVERAGE(J21, K21, L21)</f>
        <v>16.5</v>
      </c>
    </row>
    <row r="22" spans="1:13" x14ac:dyDescent="0.3">
      <c r="A22" s="8">
        <v>13</v>
      </c>
      <c r="B22" s="8">
        <v>2</v>
      </c>
      <c r="C22" s="9">
        <v>6</v>
      </c>
      <c r="D22" s="9">
        <v>4.5</v>
      </c>
      <c r="E22" s="9">
        <v>5</v>
      </c>
      <c r="F22" s="9">
        <v>75</v>
      </c>
      <c r="G22" s="9">
        <v>2</v>
      </c>
      <c r="H22" s="9">
        <v>16</v>
      </c>
      <c r="I22" s="9">
        <v>0.64</v>
      </c>
      <c r="J22" s="10">
        <v>14.9</v>
      </c>
      <c r="K22" s="9">
        <v>16.100000000000001</v>
      </c>
      <c r="L22" s="9">
        <v>16.399999999999999</v>
      </c>
      <c r="M22" s="19">
        <f t="shared" ref="M22:M32" si="1">AVERAGE(J22, K22, L22)</f>
        <v>15.799999999999999</v>
      </c>
    </row>
    <row r="23" spans="1:13" x14ac:dyDescent="0.3">
      <c r="A23" s="11" t="s">
        <v>17</v>
      </c>
      <c r="B23" s="11" t="s">
        <v>17</v>
      </c>
      <c r="C23" s="11" t="s">
        <v>17</v>
      </c>
      <c r="D23" s="11" t="s">
        <v>17</v>
      </c>
      <c r="E23" s="11" t="s">
        <v>17</v>
      </c>
      <c r="F23" s="11" t="s">
        <v>17</v>
      </c>
      <c r="G23" s="11" t="s">
        <v>17</v>
      </c>
      <c r="H23" s="11" t="s">
        <v>17</v>
      </c>
      <c r="I23" s="11" t="s">
        <v>17</v>
      </c>
      <c r="J23" s="11" t="s">
        <v>17</v>
      </c>
      <c r="K23" s="11" t="s">
        <v>17</v>
      </c>
      <c r="L23" s="11" t="s">
        <v>17</v>
      </c>
      <c r="M23" s="11" t="s">
        <v>17</v>
      </c>
    </row>
    <row r="24" spans="1:13" x14ac:dyDescent="0.3">
      <c r="A24" s="8">
        <v>14</v>
      </c>
      <c r="B24" s="8">
        <v>2</v>
      </c>
      <c r="C24" s="9">
        <v>10</v>
      </c>
      <c r="D24" s="9">
        <v>4.5</v>
      </c>
      <c r="E24" s="9">
        <v>5</v>
      </c>
      <c r="F24" s="9">
        <v>78</v>
      </c>
      <c r="G24" s="9">
        <v>3</v>
      </c>
      <c r="H24" s="9">
        <v>21</v>
      </c>
      <c r="I24" s="9">
        <v>0.68</v>
      </c>
      <c r="J24" s="9">
        <v>14.3</v>
      </c>
      <c r="K24" s="9">
        <v>13.7</v>
      </c>
      <c r="L24" s="9">
        <v>15.2</v>
      </c>
      <c r="M24" s="19">
        <f t="shared" si="1"/>
        <v>14.4</v>
      </c>
    </row>
    <row r="25" spans="1:13" x14ac:dyDescent="0.3">
      <c r="A25" s="8">
        <v>15</v>
      </c>
      <c r="B25" s="8">
        <v>2</v>
      </c>
      <c r="C25" s="9">
        <v>3</v>
      </c>
      <c r="D25" s="9">
        <v>5.5</v>
      </c>
      <c r="E25" s="9">
        <v>5.5</v>
      </c>
      <c r="F25" s="9">
        <v>85</v>
      </c>
      <c r="G25" s="9">
        <v>2</v>
      </c>
      <c r="H25" s="9">
        <v>13</v>
      </c>
      <c r="I25" s="9">
        <v>0.76</v>
      </c>
      <c r="J25" s="9">
        <v>16.399999999999999</v>
      </c>
      <c r="K25" s="9">
        <v>14.8</v>
      </c>
      <c r="L25" s="9">
        <v>12.3</v>
      </c>
      <c r="M25" s="19">
        <f t="shared" si="1"/>
        <v>14.5</v>
      </c>
    </row>
    <row r="26" spans="1:13" x14ac:dyDescent="0.3">
      <c r="A26" s="8">
        <v>16</v>
      </c>
      <c r="B26" s="8">
        <v>2</v>
      </c>
      <c r="C26" s="9">
        <v>4</v>
      </c>
      <c r="D26" s="9">
        <v>4.5</v>
      </c>
      <c r="E26" s="9">
        <v>5</v>
      </c>
      <c r="F26" s="9">
        <v>78</v>
      </c>
      <c r="G26" s="9">
        <v>3</v>
      </c>
      <c r="H26" s="9">
        <v>29</v>
      </c>
      <c r="I26" s="9">
        <v>0.61</v>
      </c>
      <c r="J26" s="9">
        <v>10.1</v>
      </c>
      <c r="K26" s="9">
        <v>8.6</v>
      </c>
      <c r="L26" s="9">
        <v>10.6</v>
      </c>
      <c r="M26" s="19">
        <f t="shared" si="1"/>
        <v>9.7666666666666657</v>
      </c>
    </row>
    <row r="27" spans="1:13" x14ac:dyDescent="0.3">
      <c r="A27" s="8">
        <v>17</v>
      </c>
      <c r="B27" s="8">
        <v>2</v>
      </c>
      <c r="C27" s="9">
        <v>2</v>
      </c>
      <c r="D27" s="9">
        <v>5.5</v>
      </c>
      <c r="E27" s="9">
        <v>5.5</v>
      </c>
      <c r="F27" s="9">
        <v>81</v>
      </c>
      <c r="G27" s="9">
        <v>2</v>
      </c>
      <c r="H27" s="9">
        <v>9</v>
      </c>
      <c r="I27" s="9">
        <v>0.69</v>
      </c>
      <c r="J27" s="9">
        <v>19.5</v>
      </c>
      <c r="K27" s="9">
        <v>16.899999999999999</v>
      </c>
      <c r="L27" s="9">
        <v>18.5</v>
      </c>
      <c r="M27" s="19">
        <f t="shared" si="1"/>
        <v>18.3</v>
      </c>
    </row>
    <row r="28" spans="1:13" x14ac:dyDescent="0.3">
      <c r="A28" s="8">
        <v>18</v>
      </c>
      <c r="B28" s="8">
        <v>2</v>
      </c>
      <c r="C28" s="9">
        <v>11</v>
      </c>
      <c r="D28" s="9">
        <v>6</v>
      </c>
      <c r="E28" s="9">
        <v>6</v>
      </c>
      <c r="F28" s="9">
        <v>82</v>
      </c>
      <c r="G28" s="9">
        <v>2</v>
      </c>
      <c r="H28" s="9">
        <v>7</v>
      </c>
      <c r="I28" s="9">
        <v>0.69</v>
      </c>
      <c r="J28" s="9">
        <v>17.5</v>
      </c>
      <c r="K28" s="9">
        <v>15</v>
      </c>
      <c r="L28" s="9">
        <v>15.8</v>
      </c>
      <c r="M28" s="19">
        <f t="shared" si="1"/>
        <v>16.099999999999998</v>
      </c>
    </row>
    <row r="29" spans="1:13" x14ac:dyDescent="0.3">
      <c r="A29" s="8">
        <v>19</v>
      </c>
      <c r="B29" s="8">
        <v>2</v>
      </c>
      <c r="C29" s="9">
        <v>7</v>
      </c>
      <c r="D29" s="9">
        <v>6</v>
      </c>
      <c r="E29" s="9">
        <v>6</v>
      </c>
      <c r="F29" s="9">
        <v>81</v>
      </c>
      <c r="G29" s="9">
        <v>2</v>
      </c>
      <c r="H29" s="9">
        <v>6</v>
      </c>
      <c r="I29" s="9">
        <v>0.7</v>
      </c>
      <c r="J29" s="9">
        <v>15.7</v>
      </c>
      <c r="K29" s="9">
        <v>13.3</v>
      </c>
      <c r="L29" s="9">
        <v>12.8</v>
      </c>
      <c r="M29" s="19">
        <f t="shared" si="1"/>
        <v>13.933333333333332</v>
      </c>
    </row>
    <row r="30" spans="1:13" x14ac:dyDescent="0.3">
      <c r="A30" s="8">
        <v>20</v>
      </c>
      <c r="B30" s="8">
        <v>2</v>
      </c>
      <c r="C30" s="9">
        <v>9</v>
      </c>
      <c r="D30" s="10">
        <v>5.5</v>
      </c>
      <c r="E30" s="9">
        <v>6</v>
      </c>
      <c r="F30" s="9">
        <v>78</v>
      </c>
      <c r="G30" s="9">
        <v>2</v>
      </c>
      <c r="H30" s="9">
        <v>13</v>
      </c>
      <c r="I30" s="9">
        <v>0.69</v>
      </c>
      <c r="J30" s="9">
        <v>17.600000000000001</v>
      </c>
      <c r="K30" s="9">
        <v>16.5</v>
      </c>
      <c r="L30" s="9">
        <v>14</v>
      </c>
      <c r="M30" s="19">
        <f t="shared" si="1"/>
        <v>16.033333333333335</v>
      </c>
    </row>
    <row r="31" spans="1:13" x14ac:dyDescent="0.3">
      <c r="A31" s="8">
        <v>21</v>
      </c>
      <c r="B31" s="8">
        <v>2</v>
      </c>
      <c r="C31" s="9">
        <v>5</v>
      </c>
      <c r="D31" s="9">
        <v>5.5</v>
      </c>
      <c r="E31" s="9">
        <v>5.5</v>
      </c>
      <c r="F31" s="9">
        <v>85</v>
      </c>
      <c r="G31" s="9">
        <v>2</v>
      </c>
      <c r="H31" s="9">
        <v>10</v>
      </c>
      <c r="I31" s="9">
        <v>0.71</v>
      </c>
      <c r="J31" s="9">
        <v>13.4</v>
      </c>
      <c r="K31" s="9">
        <v>13.5</v>
      </c>
      <c r="L31" s="9">
        <v>13.7</v>
      </c>
      <c r="M31" s="19">
        <f t="shared" si="1"/>
        <v>13.533333333333331</v>
      </c>
    </row>
    <row r="32" spans="1:13" x14ac:dyDescent="0.3">
      <c r="A32" s="8">
        <v>22</v>
      </c>
      <c r="B32" s="8">
        <v>2</v>
      </c>
      <c r="C32" s="9">
        <v>8</v>
      </c>
      <c r="D32" s="9">
        <v>4</v>
      </c>
      <c r="E32" s="9">
        <v>4.5</v>
      </c>
      <c r="F32" s="9">
        <v>61</v>
      </c>
      <c r="G32" s="9">
        <v>3</v>
      </c>
      <c r="H32" s="9">
        <v>46</v>
      </c>
      <c r="I32" s="9">
        <v>0.55000000000000004</v>
      </c>
      <c r="J32" s="9">
        <v>16.3</v>
      </c>
      <c r="K32" s="9">
        <v>14.5</v>
      </c>
      <c r="L32" s="9">
        <v>14.1</v>
      </c>
      <c r="M32" s="19">
        <f t="shared" si="1"/>
        <v>14.966666666666667</v>
      </c>
    </row>
    <row r="33" spans="1:13" x14ac:dyDescent="0.3">
      <c r="A33" s="5">
        <v>23</v>
      </c>
      <c r="B33" s="6">
        <v>3</v>
      </c>
      <c r="C33" s="6">
        <v>4</v>
      </c>
      <c r="D33" s="6">
        <v>5.5</v>
      </c>
      <c r="E33" s="6">
        <v>6</v>
      </c>
      <c r="F33" s="6">
        <v>80</v>
      </c>
      <c r="G33" s="6">
        <v>2</v>
      </c>
      <c r="H33" s="6">
        <v>11</v>
      </c>
      <c r="I33" s="6">
        <v>0.65</v>
      </c>
      <c r="J33" s="6">
        <v>17.399999999999999</v>
      </c>
      <c r="K33" s="6">
        <v>17.100000000000001</v>
      </c>
      <c r="L33" s="6">
        <v>15.8</v>
      </c>
      <c r="M33" s="17">
        <f>AVERAGE(J33, K33, L33)</f>
        <v>16.766666666666666</v>
      </c>
    </row>
    <row r="34" spans="1:13" x14ac:dyDescent="0.3">
      <c r="A34" s="5">
        <v>24</v>
      </c>
      <c r="B34" s="6">
        <v>3</v>
      </c>
      <c r="C34" s="6">
        <v>1</v>
      </c>
      <c r="D34" s="6">
        <v>5</v>
      </c>
      <c r="E34" s="6">
        <v>5</v>
      </c>
      <c r="F34" s="6">
        <v>76</v>
      </c>
      <c r="G34" s="6">
        <v>2</v>
      </c>
      <c r="H34" s="6">
        <v>16</v>
      </c>
      <c r="I34" s="7">
        <v>0.66</v>
      </c>
      <c r="J34" s="6">
        <v>18</v>
      </c>
      <c r="K34" s="6">
        <v>12.8</v>
      </c>
      <c r="L34" s="6">
        <v>14.6</v>
      </c>
      <c r="M34" s="17">
        <f t="shared" ref="M34:M44" si="2">AVERAGE(J34, K34, L34)</f>
        <v>15.133333333333333</v>
      </c>
    </row>
    <row r="35" spans="1:13" x14ac:dyDescent="0.3">
      <c r="A35" s="5">
        <v>25</v>
      </c>
      <c r="B35" s="6">
        <v>3</v>
      </c>
      <c r="C35" s="6">
        <v>9</v>
      </c>
      <c r="D35" s="6">
        <v>5</v>
      </c>
      <c r="E35" s="6">
        <v>5.5</v>
      </c>
      <c r="F35" s="6">
        <v>80</v>
      </c>
      <c r="G35" s="6">
        <v>2</v>
      </c>
      <c r="H35" s="6">
        <v>15</v>
      </c>
      <c r="I35" s="6">
        <v>0.68</v>
      </c>
      <c r="J35" s="6">
        <v>15.5</v>
      </c>
      <c r="K35" s="6">
        <v>16.100000000000001</v>
      </c>
      <c r="L35" s="6">
        <v>14.5</v>
      </c>
      <c r="M35" s="17">
        <f t="shared" si="2"/>
        <v>15.366666666666667</v>
      </c>
    </row>
    <row r="36" spans="1:13" x14ac:dyDescent="0.3">
      <c r="A36" s="5">
        <v>26</v>
      </c>
      <c r="B36" s="6">
        <v>3</v>
      </c>
      <c r="C36" s="6">
        <v>2</v>
      </c>
      <c r="D36" s="6">
        <v>5.5</v>
      </c>
      <c r="E36" s="6">
        <v>5.5</v>
      </c>
      <c r="F36" s="6">
        <v>79</v>
      </c>
      <c r="G36" s="6">
        <v>2</v>
      </c>
      <c r="H36" s="6">
        <v>16</v>
      </c>
      <c r="I36" s="6">
        <v>0.65</v>
      </c>
      <c r="J36" s="6">
        <v>14.5</v>
      </c>
      <c r="K36" s="6">
        <v>16.899999999999999</v>
      </c>
      <c r="L36" s="6">
        <v>15.1</v>
      </c>
      <c r="M36" s="17">
        <f t="shared" si="2"/>
        <v>15.5</v>
      </c>
    </row>
    <row r="37" spans="1:13" x14ac:dyDescent="0.3">
      <c r="A37" s="5">
        <v>27</v>
      </c>
      <c r="B37" s="6">
        <v>3</v>
      </c>
      <c r="C37" s="6">
        <v>6</v>
      </c>
      <c r="D37" s="6">
        <v>5.5</v>
      </c>
      <c r="E37" s="6">
        <v>6</v>
      </c>
      <c r="F37" s="6">
        <v>78</v>
      </c>
      <c r="G37" s="6">
        <v>2</v>
      </c>
      <c r="H37" s="6">
        <v>16</v>
      </c>
      <c r="I37" s="6">
        <v>0.67</v>
      </c>
      <c r="J37" s="6">
        <v>15.2</v>
      </c>
      <c r="K37" s="6">
        <v>11.6</v>
      </c>
      <c r="L37" s="6">
        <v>12.8</v>
      </c>
      <c r="M37" s="17">
        <f t="shared" si="2"/>
        <v>13.199999999999998</v>
      </c>
    </row>
    <row r="38" spans="1:13" x14ac:dyDescent="0.3">
      <c r="A38" s="5">
        <v>28</v>
      </c>
      <c r="B38" s="6">
        <v>3</v>
      </c>
      <c r="C38" s="6">
        <v>11</v>
      </c>
      <c r="D38" s="6">
        <v>6</v>
      </c>
      <c r="E38" s="6">
        <v>6</v>
      </c>
      <c r="F38" s="6">
        <v>83</v>
      </c>
      <c r="G38" s="6">
        <v>2</v>
      </c>
      <c r="H38" s="6">
        <v>11</v>
      </c>
      <c r="I38" s="6">
        <v>0.77</v>
      </c>
      <c r="J38" s="6">
        <v>20</v>
      </c>
      <c r="K38" s="6">
        <v>17.5</v>
      </c>
      <c r="L38" s="6">
        <v>14.9</v>
      </c>
      <c r="M38" s="17">
        <f t="shared" si="2"/>
        <v>17.466666666666665</v>
      </c>
    </row>
    <row r="39" spans="1:13" x14ac:dyDescent="0.3">
      <c r="A39" s="5">
        <v>29</v>
      </c>
      <c r="B39" s="6">
        <v>3</v>
      </c>
      <c r="C39" s="6">
        <v>5</v>
      </c>
      <c r="D39" s="6">
        <v>6</v>
      </c>
      <c r="E39" s="6">
        <v>6</v>
      </c>
      <c r="F39" s="6">
        <v>84</v>
      </c>
      <c r="G39" s="6">
        <v>2</v>
      </c>
      <c r="H39" s="6">
        <v>10</v>
      </c>
      <c r="I39" s="7">
        <v>0.72</v>
      </c>
      <c r="J39" s="6">
        <v>20</v>
      </c>
      <c r="K39" s="6">
        <v>15.5</v>
      </c>
      <c r="L39" s="6">
        <v>15.8</v>
      </c>
      <c r="M39" s="17">
        <f t="shared" si="2"/>
        <v>17.099999999999998</v>
      </c>
    </row>
    <row r="40" spans="1:13" x14ac:dyDescent="0.3">
      <c r="A40" s="11" t="s">
        <v>17</v>
      </c>
      <c r="B40" s="11" t="s">
        <v>17</v>
      </c>
      <c r="C40" s="11" t="s">
        <v>17</v>
      </c>
      <c r="D40" s="11" t="s">
        <v>17</v>
      </c>
      <c r="E40" s="11" t="s">
        <v>17</v>
      </c>
      <c r="F40" s="11" t="s">
        <v>17</v>
      </c>
      <c r="G40" s="11" t="s">
        <v>17</v>
      </c>
      <c r="H40" s="11" t="s">
        <v>17</v>
      </c>
      <c r="I40" s="11" t="s">
        <v>17</v>
      </c>
      <c r="J40" s="11" t="s">
        <v>17</v>
      </c>
      <c r="K40" s="11" t="s">
        <v>17</v>
      </c>
      <c r="L40" s="11" t="s">
        <v>17</v>
      </c>
      <c r="M40" s="11" t="s">
        <v>17</v>
      </c>
    </row>
    <row r="41" spans="1:13" x14ac:dyDescent="0.3">
      <c r="A41" s="5">
        <v>30</v>
      </c>
      <c r="B41" s="6">
        <v>3</v>
      </c>
      <c r="C41" s="6">
        <v>8</v>
      </c>
      <c r="D41" s="6">
        <v>5.5</v>
      </c>
      <c r="E41" s="6">
        <v>5</v>
      </c>
      <c r="F41" s="6">
        <v>79</v>
      </c>
      <c r="G41" s="6">
        <v>2</v>
      </c>
      <c r="H41" s="6">
        <v>16</v>
      </c>
      <c r="I41" s="6">
        <v>0.68</v>
      </c>
      <c r="J41" s="6">
        <v>15.9</v>
      </c>
      <c r="K41" s="6">
        <v>15.8</v>
      </c>
      <c r="L41" s="6">
        <v>15.5</v>
      </c>
      <c r="M41" s="17">
        <f t="shared" si="2"/>
        <v>15.733333333333334</v>
      </c>
    </row>
    <row r="42" spans="1:13" x14ac:dyDescent="0.3">
      <c r="A42" s="5">
        <v>31</v>
      </c>
      <c r="B42" s="6">
        <v>3</v>
      </c>
      <c r="C42" s="6">
        <v>3</v>
      </c>
      <c r="D42" s="6">
        <v>5.5</v>
      </c>
      <c r="E42" s="6">
        <v>5.5</v>
      </c>
      <c r="F42" s="6">
        <v>81</v>
      </c>
      <c r="G42" s="6">
        <v>2</v>
      </c>
      <c r="H42" s="6">
        <v>13</v>
      </c>
      <c r="I42" s="6">
        <v>0.71</v>
      </c>
      <c r="J42" s="6">
        <v>15.1</v>
      </c>
      <c r="K42" s="6">
        <v>13.8</v>
      </c>
      <c r="L42" s="6">
        <v>16.600000000000001</v>
      </c>
      <c r="M42" s="17">
        <f t="shared" si="2"/>
        <v>15.166666666666666</v>
      </c>
    </row>
    <row r="43" spans="1:13" x14ac:dyDescent="0.3">
      <c r="A43" s="5">
        <v>32</v>
      </c>
      <c r="B43" s="6">
        <v>3</v>
      </c>
      <c r="C43" s="6">
        <v>7</v>
      </c>
      <c r="D43" s="6">
        <v>6</v>
      </c>
      <c r="E43" s="6">
        <v>6</v>
      </c>
      <c r="F43" s="6">
        <v>83</v>
      </c>
      <c r="G43" s="6">
        <v>2</v>
      </c>
      <c r="H43" s="6">
        <v>7</v>
      </c>
      <c r="I43" s="6">
        <v>0.73</v>
      </c>
      <c r="J43" s="6">
        <v>16.399999999999999</v>
      </c>
      <c r="K43" s="6">
        <v>16.100000000000001</v>
      </c>
      <c r="L43" s="7">
        <v>13.9</v>
      </c>
      <c r="M43" s="17">
        <f t="shared" si="2"/>
        <v>15.466666666666667</v>
      </c>
    </row>
    <row r="44" spans="1:13" x14ac:dyDescent="0.3">
      <c r="A44" s="5">
        <v>33</v>
      </c>
      <c r="B44" s="6">
        <v>3</v>
      </c>
      <c r="C44" s="6">
        <v>10</v>
      </c>
      <c r="D44" s="6">
        <v>6</v>
      </c>
      <c r="E44" s="6">
        <v>6</v>
      </c>
      <c r="F44" s="6">
        <v>85</v>
      </c>
      <c r="G44" s="6">
        <v>2</v>
      </c>
      <c r="H44" s="6">
        <v>6</v>
      </c>
      <c r="I44" s="6">
        <v>0.74</v>
      </c>
      <c r="J44" s="6">
        <v>14.1</v>
      </c>
      <c r="K44" s="6">
        <v>15.5</v>
      </c>
      <c r="L44" s="6">
        <v>13.3</v>
      </c>
      <c r="M44" s="17">
        <f t="shared" si="2"/>
        <v>14.300000000000002</v>
      </c>
    </row>
    <row r="45" spans="1:13" x14ac:dyDescent="0.3">
      <c r="A45" s="8">
        <v>34</v>
      </c>
      <c r="B45" s="9">
        <v>4</v>
      </c>
      <c r="C45" s="9">
        <v>7</v>
      </c>
      <c r="D45" s="10">
        <v>5.5</v>
      </c>
      <c r="E45" s="9">
        <v>5.5</v>
      </c>
      <c r="F45" s="9">
        <v>81</v>
      </c>
      <c r="G45" s="9">
        <v>2</v>
      </c>
      <c r="H45" s="9">
        <v>15</v>
      </c>
      <c r="I45" s="10">
        <v>0.66</v>
      </c>
      <c r="J45" s="9">
        <v>17.8</v>
      </c>
      <c r="K45" s="9">
        <v>16.2</v>
      </c>
      <c r="L45" s="9">
        <v>16.399999999999999</v>
      </c>
      <c r="M45" s="19">
        <f>AVERAGE(J45, K45, L45)</f>
        <v>16.8</v>
      </c>
    </row>
    <row r="46" spans="1:13" x14ac:dyDescent="0.3">
      <c r="A46" s="8">
        <v>35</v>
      </c>
      <c r="B46" s="9">
        <v>4</v>
      </c>
      <c r="C46" s="9">
        <v>8</v>
      </c>
      <c r="D46" s="9">
        <v>5.5</v>
      </c>
      <c r="E46" s="9">
        <v>5.5</v>
      </c>
      <c r="F46" s="9">
        <v>76</v>
      </c>
      <c r="G46" s="9">
        <v>2</v>
      </c>
      <c r="H46" s="9">
        <v>16</v>
      </c>
      <c r="I46" s="9">
        <v>0.67</v>
      </c>
      <c r="J46" s="9">
        <v>16.5</v>
      </c>
      <c r="K46" s="9">
        <v>14</v>
      </c>
      <c r="L46" s="9">
        <v>12.4</v>
      </c>
      <c r="M46" s="19">
        <f t="shared" ref="M46:M56" si="3">AVERAGE(J46, K46, L46)</f>
        <v>14.299999999999999</v>
      </c>
    </row>
    <row r="47" spans="1:13" x14ac:dyDescent="0.3">
      <c r="A47" s="8">
        <v>36</v>
      </c>
      <c r="B47" s="9">
        <v>4</v>
      </c>
      <c r="C47" s="9">
        <v>11</v>
      </c>
      <c r="D47" s="9">
        <v>6</v>
      </c>
      <c r="E47" s="9">
        <v>6</v>
      </c>
      <c r="F47" s="9">
        <v>79</v>
      </c>
      <c r="G47" s="9">
        <v>2</v>
      </c>
      <c r="H47" s="9">
        <v>14</v>
      </c>
      <c r="I47" s="9">
        <v>0.73</v>
      </c>
      <c r="J47" s="9">
        <v>16.100000000000001</v>
      </c>
      <c r="K47" s="9">
        <v>15.3</v>
      </c>
      <c r="L47" s="9">
        <v>15.6</v>
      </c>
      <c r="M47" s="19">
        <f t="shared" si="3"/>
        <v>15.666666666666666</v>
      </c>
    </row>
    <row r="48" spans="1:13" x14ac:dyDescent="0.3">
      <c r="A48" s="8">
        <v>37</v>
      </c>
      <c r="B48" s="9">
        <v>4</v>
      </c>
      <c r="C48" s="9">
        <v>5</v>
      </c>
      <c r="D48" s="9">
        <v>6</v>
      </c>
      <c r="E48" s="9">
        <v>6</v>
      </c>
      <c r="F48" s="9">
        <v>80</v>
      </c>
      <c r="G48" s="9">
        <v>2</v>
      </c>
      <c r="H48" s="9">
        <v>10</v>
      </c>
      <c r="I48" s="9">
        <v>0.68</v>
      </c>
      <c r="J48" s="9">
        <v>18.2</v>
      </c>
      <c r="K48" s="9">
        <v>18</v>
      </c>
      <c r="L48" s="9">
        <v>14.5</v>
      </c>
      <c r="M48" s="19">
        <f t="shared" si="3"/>
        <v>16.900000000000002</v>
      </c>
    </row>
    <row r="49" spans="1:13" x14ac:dyDescent="0.3">
      <c r="A49" s="8">
        <v>38</v>
      </c>
      <c r="B49" s="9">
        <v>4</v>
      </c>
      <c r="C49" s="9">
        <v>9</v>
      </c>
      <c r="D49" s="9">
        <v>5.5</v>
      </c>
      <c r="E49" s="9">
        <v>5.5</v>
      </c>
      <c r="F49" s="9">
        <v>83</v>
      </c>
      <c r="G49" s="9">
        <v>2</v>
      </c>
      <c r="H49" s="9">
        <v>12</v>
      </c>
      <c r="I49" s="9">
        <v>0.67</v>
      </c>
      <c r="J49" s="9">
        <v>17.5</v>
      </c>
      <c r="K49" s="9">
        <v>15.2</v>
      </c>
      <c r="L49" s="9">
        <v>14.1</v>
      </c>
      <c r="M49" s="19">
        <f t="shared" si="3"/>
        <v>15.600000000000001</v>
      </c>
    </row>
    <row r="50" spans="1:13" x14ac:dyDescent="0.3">
      <c r="A50" s="11" t="s">
        <v>17</v>
      </c>
      <c r="B50" s="11" t="s">
        <v>17</v>
      </c>
      <c r="C50" s="11" t="s">
        <v>17</v>
      </c>
      <c r="D50" s="11" t="s">
        <v>17</v>
      </c>
      <c r="E50" s="11" t="s">
        <v>17</v>
      </c>
      <c r="F50" s="11" t="s">
        <v>17</v>
      </c>
      <c r="G50" s="11" t="s">
        <v>17</v>
      </c>
      <c r="H50" s="11" t="s">
        <v>17</v>
      </c>
      <c r="I50" s="11" t="s">
        <v>17</v>
      </c>
      <c r="J50" s="11" t="s">
        <v>17</v>
      </c>
      <c r="K50" s="11" t="s">
        <v>17</v>
      </c>
      <c r="L50" s="11" t="s">
        <v>17</v>
      </c>
      <c r="M50" s="11" t="s">
        <v>17</v>
      </c>
    </row>
    <row r="51" spans="1:13" x14ac:dyDescent="0.3">
      <c r="A51" s="8">
        <v>39</v>
      </c>
      <c r="B51" s="9">
        <v>4</v>
      </c>
      <c r="C51" s="9">
        <v>6</v>
      </c>
      <c r="D51" s="9">
        <v>4.5</v>
      </c>
      <c r="E51" s="9">
        <v>5</v>
      </c>
      <c r="F51" s="9">
        <v>75</v>
      </c>
      <c r="G51" s="9">
        <v>3</v>
      </c>
      <c r="H51" s="9">
        <v>26</v>
      </c>
      <c r="I51" s="9">
        <v>0.63</v>
      </c>
      <c r="J51" s="9">
        <v>16.100000000000001</v>
      </c>
      <c r="K51" s="9">
        <v>15.9</v>
      </c>
      <c r="L51" s="9">
        <v>14.5</v>
      </c>
      <c r="M51" s="19">
        <f t="shared" si="3"/>
        <v>15.5</v>
      </c>
    </row>
    <row r="52" spans="1:13" x14ac:dyDescent="0.3">
      <c r="A52" s="8">
        <v>40</v>
      </c>
      <c r="B52" s="9">
        <v>4</v>
      </c>
      <c r="C52" s="9">
        <v>2</v>
      </c>
      <c r="D52" s="9">
        <v>5.5</v>
      </c>
      <c r="E52" s="10">
        <v>6</v>
      </c>
      <c r="F52" s="9">
        <v>76</v>
      </c>
      <c r="G52" s="9">
        <v>2</v>
      </c>
      <c r="H52" s="9">
        <v>17</v>
      </c>
      <c r="I52" s="9">
        <v>0.74</v>
      </c>
      <c r="J52" s="10">
        <v>17.399999999999999</v>
      </c>
      <c r="K52" s="10">
        <v>12.1</v>
      </c>
      <c r="L52" s="9">
        <v>13.6</v>
      </c>
      <c r="M52" s="19">
        <f t="shared" si="3"/>
        <v>14.366666666666667</v>
      </c>
    </row>
    <row r="53" spans="1:13" x14ac:dyDescent="0.3">
      <c r="A53" s="8">
        <v>41</v>
      </c>
      <c r="B53" s="9">
        <v>4</v>
      </c>
      <c r="C53" s="9">
        <v>10</v>
      </c>
      <c r="D53" s="9">
        <v>6</v>
      </c>
      <c r="E53" s="9">
        <v>6</v>
      </c>
      <c r="F53" s="9">
        <v>79</v>
      </c>
      <c r="G53" s="9">
        <v>2</v>
      </c>
      <c r="H53" s="9">
        <v>15</v>
      </c>
      <c r="I53" s="9">
        <v>0.73</v>
      </c>
      <c r="J53" s="9">
        <v>18.5</v>
      </c>
      <c r="K53" s="9">
        <v>13.5</v>
      </c>
      <c r="L53" s="9">
        <v>15.1</v>
      </c>
      <c r="M53" s="19">
        <f t="shared" si="3"/>
        <v>15.700000000000001</v>
      </c>
    </row>
    <row r="54" spans="1:13" x14ac:dyDescent="0.3">
      <c r="A54" s="8">
        <v>42</v>
      </c>
      <c r="B54" s="9">
        <v>4</v>
      </c>
      <c r="C54" s="9">
        <v>1</v>
      </c>
      <c r="D54" s="9">
        <v>4</v>
      </c>
      <c r="E54" s="9">
        <v>4</v>
      </c>
      <c r="F54" s="9">
        <v>68</v>
      </c>
      <c r="G54" s="9">
        <v>3</v>
      </c>
      <c r="H54" s="9">
        <v>29</v>
      </c>
      <c r="I54" s="9">
        <v>0.55000000000000004</v>
      </c>
      <c r="J54" s="9">
        <v>17.2</v>
      </c>
      <c r="K54" s="9">
        <v>15.1</v>
      </c>
      <c r="L54" s="9">
        <v>15.4</v>
      </c>
      <c r="M54" s="19">
        <f t="shared" si="3"/>
        <v>15.899999999999999</v>
      </c>
    </row>
    <row r="55" spans="1:13" x14ac:dyDescent="0.3">
      <c r="A55" s="8">
        <v>43</v>
      </c>
      <c r="B55" s="9">
        <v>4</v>
      </c>
      <c r="C55" s="9">
        <v>4</v>
      </c>
      <c r="D55" s="9">
        <v>5.5</v>
      </c>
      <c r="E55" s="9">
        <v>6</v>
      </c>
      <c r="F55" s="9">
        <v>78</v>
      </c>
      <c r="G55" s="9">
        <v>2</v>
      </c>
      <c r="H55" s="9">
        <v>16</v>
      </c>
      <c r="I55" s="9">
        <v>0.73</v>
      </c>
      <c r="J55" s="9">
        <v>15.2</v>
      </c>
      <c r="K55" s="9">
        <v>18.2</v>
      </c>
      <c r="L55" s="9">
        <v>14.5</v>
      </c>
      <c r="M55" s="19">
        <f t="shared" si="3"/>
        <v>15.966666666666667</v>
      </c>
    </row>
    <row r="56" spans="1:13" x14ac:dyDescent="0.3">
      <c r="A56" s="8">
        <v>44</v>
      </c>
      <c r="B56" s="9">
        <v>4</v>
      </c>
      <c r="C56" s="9">
        <v>3</v>
      </c>
      <c r="D56" s="9">
        <v>6</v>
      </c>
      <c r="E56" s="9">
        <v>6.5</v>
      </c>
      <c r="F56" s="9">
        <v>83</v>
      </c>
      <c r="G56" s="9">
        <v>2</v>
      </c>
      <c r="H56" s="9">
        <v>7</v>
      </c>
      <c r="I56" s="9">
        <v>0.75</v>
      </c>
      <c r="J56" s="9">
        <v>18.100000000000001</v>
      </c>
      <c r="K56" s="9">
        <v>16.5</v>
      </c>
      <c r="L56" s="9">
        <v>14.6</v>
      </c>
      <c r="M56" s="19">
        <f t="shared" si="3"/>
        <v>16.400000000000002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2DDD3-9180-4551-9B3D-AF80EA732497}">
  <dimension ref="A1:M56"/>
  <sheetViews>
    <sheetView zoomScaleNormal="100" workbookViewId="0">
      <selection activeCell="R26" sqref="R26"/>
    </sheetView>
  </sheetViews>
  <sheetFormatPr defaultRowHeight="14.4" x14ac:dyDescent="0.3"/>
  <sheetData>
    <row r="1" spans="1:13" x14ac:dyDescent="0.3">
      <c r="A1" t="s">
        <v>7</v>
      </c>
      <c r="C1" t="s">
        <v>8</v>
      </c>
    </row>
    <row r="2" spans="1:13" x14ac:dyDescent="0.3">
      <c r="A2" s="1" t="s">
        <v>13</v>
      </c>
      <c r="B2" t="s">
        <v>51</v>
      </c>
    </row>
    <row r="3" spans="1:13" x14ac:dyDescent="0.3">
      <c r="A3" s="1" t="s">
        <v>12</v>
      </c>
      <c r="B3" t="s">
        <v>24</v>
      </c>
    </row>
    <row r="4" spans="1:13" x14ac:dyDescent="0.3">
      <c r="A4" s="1" t="s">
        <v>11</v>
      </c>
      <c r="B4" t="s">
        <v>25</v>
      </c>
    </row>
    <row r="5" spans="1:13" x14ac:dyDescent="0.3">
      <c r="A5" t="s">
        <v>6</v>
      </c>
      <c r="B5" t="s">
        <v>44</v>
      </c>
    </row>
    <row r="6" spans="1:13" ht="15" thickBot="1" x14ac:dyDescent="0.35">
      <c r="A6" s="1" t="s">
        <v>0</v>
      </c>
    </row>
    <row r="7" spans="1:13" ht="15" thickBot="1" x14ac:dyDescent="0.35">
      <c r="A7" s="1"/>
      <c r="J7" s="12"/>
      <c r="K7" s="13" t="s">
        <v>9</v>
      </c>
      <c r="L7" s="14"/>
      <c r="M7" s="15"/>
    </row>
    <row r="8" spans="1:13" ht="15" thickBot="1" x14ac:dyDescent="0.35">
      <c r="A8" s="2" t="s">
        <v>1</v>
      </c>
      <c r="B8" s="3" t="s">
        <v>2</v>
      </c>
      <c r="C8" s="4" t="s">
        <v>3</v>
      </c>
      <c r="D8" s="2" t="s">
        <v>4</v>
      </c>
      <c r="E8" s="3" t="s">
        <v>5</v>
      </c>
      <c r="F8" s="3" t="s">
        <v>16</v>
      </c>
      <c r="G8" s="3" t="s">
        <v>14</v>
      </c>
      <c r="H8" s="3" t="s">
        <v>15</v>
      </c>
      <c r="I8" s="3" t="s">
        <v>10</v>
      </c>
      <c r="J8" s="16" t="s">
        <v>18</v>
      </c>
      <c r="K8" s="16" t="s">
        <v>19</v>
      </c>
      <c r="L8" s="16" t="s">
        <v>20</v>
      </c>
      <c r="M8" s="16" t="s">
        <v>21</v>
      </c>
    </row>
    <row r="9" spans="1:13" x14ac:dyDescent="0.3">
      <c r="A9" s="5">
        <v>1</v>
      </c>
      <c r="B9" s="5">
        <v>1</v>
      </c>
      <c r="C9" s="5">
        <v>8</v>
      </c>
      <c r="D9" s="6">
        <v>5</v>
      </c>
      <c r="E9" s="6">
        <v>5</v>
      </c>
      <c r="F9" s="6">
        <v>74</v>
      </c>
      <c r="G9" s="6">
        <v>2</v>
      </c>
      <c r="H9" s="6">
        <v>15</v>
      </c>
      <c r="I9" s="6">
        <v>0.49</v>
      </c>
      <c r="J9" s="6">
        <v>16.2</v>
      </c>
      <c r="K9" s="6">
        <v>11.3</v>
      </c>
      <c r="L9" s="6">
        <v>11.5</v>
      </c>
      <c r="M9" s="17">
        <f>AVERAGE(J9, K9, L9)</f>
        <v>13</v>
      </c>
    </row>
    <row r="10" spans="1:13" x14ac:dyDescent="0.3">
      <c r="A10" s="5">
        <v>2</v>
      </c>
      <c r="B10" s="5">
        <v>1</v>
      </c>
      <c r="C10" s="6">
        <v>9</v>
      </c>
      <c r="D10" s="6">
        <v>5</v>
      </c>
      <c r="E10" s="6">
        <v>5</v>
      </c>
      <c r="F10" s="6">
        <v>79</v>
      </c>
      <c r="G10" s="6">
        <v>2</v>
      </c>
      <c r="H10" s="6">
        <v>12</v>
      </c>
      <c r="I10" s="6">
        <v>0.6</v>
      </c>
      <c r="J10" s="6">
        <v>18.5</v>
      </c>
      <c r="K10" s="6">
        <v>13.6</v>
      </c>
      <c r="L10" s="7">
        <v>15.5</v>
      </c>
      <c r="M10" s="17">
        <f t="shared" ref="M10:M20" si="0">AVERAGE(J10, K10, L10)</f>
        <v>15.866666666666667</v>
      </c>
    </row>
    <row r="11" spans="1:13" x14ac:dyDescent="0.3">
      <c r="A11" s="5">
        <v>3</v>
      </c>
      <c r="B11" s="5">
        <v>1</v>
      </c>
      <c r="C11" s="6">
        <v>7</v>
      </c>
      <c r="D11" s="6">
        <v>5.5</v>
      </c>
      <c r="E11" s="6">
        <v>6</v>
      </c>
      <c r="F11" s="6">
        <v>82</v>
      </c>
      <c r="G11" s="6">
        <v>2</v>
      </c>
      <c r="H11" s="6">
        <v>10</v>
      </c>
      <c r="I11" s="6">
        <v>0.66</v>
      </c>
      <c r="J11" s="6">
        <v>17.5</v>
      </c>
      <c r="K11" s="6">
        <v>12.8</v>
      </c>
      <c r="L11" s="6">
        <v>15.5</v>
      </c>
      <c r="M11" s="17">
        <f t="shared" si="0"/>
        <v>15.266666666666666</v>
      </c>
    </row>
    <row r="12" spans="1:13" x14ac:dyDescent="0.3">
      <c r="A12" s="5">
        <v>4</v>
      </c>
      <c r="B12" s="5">
        <v>1</v>
      </c>
      <c r="C12" s="6">
        <v>3</v>
      </c>
      <c r="D12" s="6">
        <v>5.5</v>
      </c>
      <c r="E12" s="6">
        <v>5.5</v>
      </c>
      <c r="F12" s="6">
        <v>86</v>
      </c>
      <c r="G12" s="6">
        <v>1</v>
      </c>
      <c r="H12" s="6">
        <v>0</v>
      </c>
      <c r="I12" s="6">
        <v>0.55000000000000004</v>
      </c>
      <c r="J12" s="6">
        <v>15.9</v>
      </c>
      <c r="K12" s="6">
        <v>13.3</v>
      </c>
      <c r="L12" s="6">
        <v>12.1</v>
      </c>
      <c r="M12" s="17">
        <f t="shared" si="0"/>
        <v>13.766666666666667</v>
      </c>
    </row>
    <row r="13" spans="1:13" x14ac:dyDescent="0.3">
      <c r="A13" s="11" t="s">
        <v>17</v>
      </c>
      <c r="B13" s="11" t="s">
        <v>17</v>
      </c>
      <c r="C13" s="11" t="s">
        <v>17</v>
      </c>
      <c r="D13" s="11" t="s">
        <v>17</v>
      </c>
      <c r="E13" s="11" t="s">
        <v>17</v>
      </c>
      <c r="F13" s="11" t="s">
        <v>17</v>
      </c>
      <c r="G13" s="11" t="s">
        <v>17</v>
      </c>
      <c r="H13" s="11" t="s">
        <v>17</v>
      </c>
      <c r="I13" s="11" t="s">
        <v>17</v>
      </c>
      <c r="J13" s="11" t="s">
        <v>17</v>
      </c>
      <c r="K13" s="11" t="s">
        <v>17</v>
      </c>
      <c r="L13" s="11" t="s">
        <v>17</v>
      </c>
      <c r="M13" s="11" t="s">
        <v>17</v>
      </c>
    </row>
    <row r="14" spans="1:13" x14ac:dyDescent="0.3">
      <c r="A14" s="5">
        <v>5</v>
      </c>
      <c r="B14" s="5">
        <v>1</v>
      </c>
      <c r="C14" s="6">
        <v>2</v>
      </c>
      <c r="D14" s="6">
        <v>5.5</v>
      </c>
      <c r="E14" s="6">
        <v>6</v>
      </c>
      <c r="F14" s="6">
        <v>85</v>
      </c>
      <c r="G14" s="6">
        <v>1</v>
      </c>
      <c r="H14" s="6">
        <v>0</v>
      </c>
      <c r="I14" s="6">
        <v>0.56000000000000005</v>
      </c>
      <c r="J14" s="6">
        <v>19.5</v>
      </c>
      <c r="K14" s="6">
        <v>12.2</v>
      </c>
      <c r="L14" s="7">
        <v>10.199999999999999</v>
      </c>
      <c r="M14" s="17">
        <f t="shared" si="0"/>
        <v>13.966666666666667</v>
      </c>
    </row>
    <row r="15" spans="1:13" x14ac:dyDescent="0.3">
      <c r="A15" s="5">
        <v>6</v>
      </c>
      <c r="B15" s="5">
        <v>1</v>
      </c>
      <c r="C15" s="6">
        <v>10</v>
      </c>
      <c r="D15" s="6">
        <v>4</v>
      </c>
      <c r="E15" s="6">
        <v>4.5</v>
      </c>
      <c r="F15" s="6">
        <v>69</v>
      </c>
      <c r="G15" s="6">
        <v>2</v>
      </c>
      <c r="H15" s="6">
        <v>17</v>
      </c>
      <c r="I15" s="6">
        <v>0.63</v>
      </c>
      <c r="J15" s="6">
        <v>14.3</v>
      </c>
      <c r="K15" s="6">
        <v>13.5</v>
      </c>
      <c r="L15" s="6">
        <v>14.6</v>
      </c>
      <c r="M15" s="17">
        <f t="shared" si="0"/>
        <v>14.133333333333333</v>
      </c>
    </row>
    <row r="16" spans="1:13" x14ac:dyDescent="0.3">
      <c r="A16" s="5">
        <v>7</v>
      </c>
      <c r="B16" s="5">
        <v>1</v>
      </c>
      <c r="C16" s="6">
        <v>4</v>
      </c>
      <c r="D16" s="6">
        <v>4.5</v>
      </c>
      <c r="E16" s="6">
        <v>4.5</v>
      </c>
      <c r="F16" s="6">
        <v>72</v>
      </c>
      <c r="G16" s="6">
        <v>2</v>
      </c>
      <c r="H16" s="6">
        <v>20</v>
      </c>
      <c r="I16" s="6">
        <v>0.56999999999999995</v>
      </c>
      <c r="J16" s="7">
        <v>14.1</v>
      </c>
      <c r="K16" s="6">
        <v>12.5</v>
      </c>
      <c r="L16" s="6">
        <v>10.1</v>
      </c>
      <c r="M16" s="17">
        <f t="shared" si="0"/>
        <v>12.233333333333334</v>
      </c>
    </row>
    <row r="17" spans="1:13" x14ac:dyDescent="0.3">
      <c r="A17" s="5">
        <v>8</v>
      </c>
      <c r="B17" s="5">
        <v>1</v>
      </c>
      <c r="C17" s="6">
        <v>5</v>
      </c>
      <c r="D17" s="6">
        <v>6</v>
      </c>
      <c r="E17" s="6">
        <v>6.5</v>
      </c>
      <c r="F17" s="6">
        <v>83</v>
      </c>
      <c r="G17" s="6">
        <v>2</v>
      </c>
      <c r="H17" s="6">
        <v>5</v>
      </c>
      <c r="I17" s="6">
        <v>0.74</v>
      </c>
      <c r="J17" s="6">
        <v>15.6</v>
      </c>
      <c r="K17" s="6">
        <v>13.4</v>
      </c>
      <c r="L17" s="6">
        <v>13.9</v>
      </c>
      <c r="M17" s="17">
        <f t="shared" si="0"/>
        <v>14.299999999999999</v>
      </c>
    </row>
    <row r="18" spans="1:13" x14ac:dyDescent="0.3">
      <c r="A18" s="5">
        <v>9</v>
      </c>
      <c r="B18" s="5">
        <v>1</v>
      </c>
      <c r="C18" s="6">
        <v>11</v>
      </c>
      <c r="D18" s="6">
        <v>5</v>
      </c>
      <c r="E18" s="6">
        <v>5</v>
      </c>
      <c r="F18" s="6">
        <v>79</v>
      </c>
      <c r="G18" s="6">
        <v>2</v>
      </c>
      <c r="H18" s="6">
        <v>12</v>
      </c>
      <c r="I18" s="6">
        <v>0.59</v>
      </c>
      <c r="J18" s="6">
        <v>14</v>
      </c>
      <c r="K18" s="6">
        <v>12.3</v>
      </c>
      <c r="L18" s="6">
        <v>11.5</v>
      </c>
      <c r="M18" s="17">
        <f t="shared" si="0"/>
        <v>12.6</v>
      </c>
    </row>
    <row r="19" spans="1:13" x14ac:dyDescent="0.3">
      <c r="A19" s="5">
        <v>10</v>
      </c>
      <c r="B19" s="5">
        <v>1</v>
      </c>
      <c r="C19" s="6">
        <v>1</v>
      </c>
      <c r="D19" s="6">
        <v>5.5</v>
      </c>
      <c r="E19" s="6">
        <v>5.5</v>
      </c>
      <c r="F19" s="6">
        <v>83</v>
      </c>
      <c r="G19" s="6">
        <v>1</v>
      </c>
      <c r="H19" s="6">
        <v>0</v>
      </c>
      <c r="I19" s="6">
        <v>0.68</v>
      </c>
      <c r="J19" s="6">
        <v>12.6</v>
      </c>
      <c r="K19" s="6">
        <v>14.6</v>
      </c>
      <c r="L19" s="6">
        <v>9</v>
      </c>
      <c r="M19" s="17">
        <f t="shared" si="0"/>
        <v>12.066666666666668</v>
      </c>
    </row>
    <row r="20" spans="1:13" x14ac:dyDescent="0.3">
      <c r="A20" s="5">
        <v>11</v>
      </c>
      <c r="B20" s="5">
        <v>1</v>
      </c>
      <c r="C20" s="6">
        <v>6</v>
      </c>
      <c r="D20" s="6">
        <v>5.5</v>
      </c>
      <c r="E20" s="6">
        <v>5.5</v>
      </c>
      <c r="F20" s="6">
        <v>81</v>
      </c>
      <c r="G20" s="6">
        <v>2</v>
      </c>
      <c r="H20" s="6">
        <v>8</v>
      </c>
      <c r="I20" s="6">
        <v>0.55000000000000004</v>
      </c>
      <c r="J20" s="6">
        <v>10.8</v>
      </c>
      <c r="K20" s="6">
        <v>10.9</v>
      </c>
      <c r="L20" s="6">
        <v>9.6</v>
      </c>
      <c r="M20" s="17">
        <f t="shared" si="0"/>
        <v>10.433333333333335</v>
      </c>
    </row>
    <row r="21" spans="1:13" x14ac:dyDescent="0.3">
      <c r="A21" s="8">
        <v>12</v>
      </c>
      <c r="B21" s="8">
        <v>2</v>
      </c>
      <c r="C21" s="9">
        <v>1</v>
      </c>
      <c r="D21" s="9">
        <v>4.5</v>
      </c>
      <c r="E21" s="9">
        <v>4.5</v>
      </c>
      <c r="F21" s="9">
        <v>71</v>
      </c>
      <c r="G21" s="9">
        <v>3</v>
      </c>
      <c r="H21" s="9">
        <v>24</v>
      </c>
      <c r="I21" s="9">
        <v>0.53</v>
      </c>
      <c r="J21" s="9">
        <v>15.9</v>
      </c>
      <c r="K21" s="9">
        <v>11.7</v>
      </c>
      <c r="L21" s="9">
        <v>15.8</v>
      </c>
      <c r="M21" s="19">
        <f>AVERAGE(J21, K21, L21)</f>
        <v>14.466666666666669</v>
      </c>
    </row>
    <row r="22" spans="1:13" x14ac:dyDescent="0.3">
      <c r="A22" s="8">
        <v>13</v>
      </c>
      <c r="B22" s="8">
        <v>2</v>
      </c>
      <c r="C22" s="9">
        <v>6</v>
      </c>
      <c r="D22" s="9">
        <v>6</v>
      </c>
      <c r="E22" s="9">
        <v>6</v>
      </c>
      <c r="F22" s="9">
        <v>76</v>
      </c>
      <c r="G22" s="9">
        <v>2</v>
      </c>
      <c r="H22" s="9">
        <v>12</v>
      </c>
      <c r="I22" s="9">
        <v>0.65</v>
      </c>
      <c r="J22" s="10">
        <v>15.5</v>
      </c>
      <c r="K22" s="9">
        <v>14.3</v>
      </c>
      <c r="L22" s="9">
        <v>14.3</v>
      </c>
      <c r="M22" s="19">
        <f t="shared" ref="M22:M32" si="1">AVERAGE(J22, K22, L22)</f>
        <v>14.700000000000001</v>
      </c>
    </row>
    <row r="23" spans="1:13" x14ac:dyDescent="0.3">
      <c r="A23" s="11" t="s">
        <v>17</v>
      </c>
      <c r="B23" s="11" t="s">
        <v>17</v>
      </c>
      <c r="C23" s="11" t="s">
        <v>17</v>
      </c>
      <c r="D23" s="11" t="s">
        <v>17</v>
      </c>
      <c r="E23" s="11" t="s">
        <v>17</v>
      </c>
      <c r="F23" s="11" t="s">
        <v>17</v>
      </c>
      <c r="G23" s="11" t="s">
        <v>17</v>
      </c>
      <c r="H23" s="11" t="s">
        <v>17</v>
      </c>
      <c r="I23" s="11" t="s">
        <v>17</v>
      </c>
      <c r="J23" s="11" t="s">
        <v>17</v>
      </c>
      <c r="K23" s="11" t="s">
        <v>17</v>
      </c>
      <c r="L23" s="11" t="s">
        <v>17</v>
      </c>
      <c r="M23" s="11" t="s">
        <v>17</v>
      </c>
    </row>
    <row r="24" spans="1:13" x14ac:dyDescent="0.3">
      <c r="A24" s="8">
        <v>14</v>
      </c>
      <c r="B24" s="8">
        <v>2</v>
      </c>
      <c r="C24" s="9">
        <v>10</v>
      </c>
      <c r="D24" s="9">
        <v>5.5</v>
      </c>
      <c r="E24" s="9">
        <v>5.5</v>
      </c>
      <c r="F24" s="9">
        <v>80</v>
      </c>
      <c r="G24" s="9">
        <v>2</v>
      </c>
      <c r="H24" s="9">
        <v>7</v>
      </c>
      <c r="I24" s="9">
        <v>0.56000000000000005</v>
      </c>
      <c r="J24" s="9">
        <v>11.2</v>
      </c>
      <c r="K24" s="9">
        <v>10</v>
      </c>
      <c r="L24" s="9">
        <v>10.9</v>
      </c>
      <c r="M24" s="19">
        <f t="shared" si="1"/>
        <v>10.700000000000001</v>
      </c>
    </row>
    <row r="25" spans="1:13" x14ac:dyDescent="0.3">
      <c r="A25" s="8">
        <v>15</v>
      </c>
      <c r="B25" s="8">
        <v>2</v>
      </c>
      <c r="C25" s="9">
        <v>3</v>
      </c>
      <c r="D25" s="9">
        <v>5.5</v>
      </c>
      <c r="E25" s="9">
        <v>5.5</v>
      </c>
      <c r="F25" s="9">
        <v>83</v>
      </c>
      <c r="G25" s="9">
        <v>1</v>
      </c>
      <c r="H25" s="9">
        <v>0</v>
      </c>
      <c r="I25" s="9">
        <v>0.57999999999999996</v>
      </c>
      <c r="J25" s="9">
        <v>15.6</v>
      </c>
      <c r="K25" s="9">
        <v>16.399999999999999</v>
      </c>
      <c r="L25" s="9">
        <v>18.100000000000001</v>
      </c>
      <c r="M25" s="19">
        <f t="shared" si="1"/>
        <v>16.7</v>
      </c>
    </row>
    <row r="26" spans="1:13" x14ac:dyDescent="0.3">
      <c r="A26" s="8">
        <v>16</v>
      </c>
      <c r="B26" s="8">
        <v>2</v>
      </c>
      <c r="C26" s="9">
        <v>4</v>
      </c>
      <c r="D26" s="9">
        <v>6</v>
      </c>
      <c r="E26" s="9">
        <v>6</v>
      </c>
      <c r="F26" s="9">
        <v>84</v>
      </c>
      <c r="G26" s="9">
        <v>2</v>
      </c>
      <c r="H26" s="9">
        <v>13</v>
      </c>
      <c r="I26" s="9">
        <v>0.73</v>
      </c>
      <c r="J26" s="9">
        <v>11.2</v>
      </c>
      <c r="K26" s="9">
        <v>10.4</v>
      </c>
      <c r="L26" s="9">
        <v>11</v>
      </c>
      <c r="M26" s="19">
        <f t="shared" si="1"/>
        <v>10.866666666666667</v>
      </c>
    </row>
    <row r="27" spans="1:13" x14ac:dyDescent="0.3">
      <c r="A27" s="8">
        <v>17</v>
      </c>
      <c r="B27" s="8">
        <v>2</v>
      </c>
      <c r="C27" s="9">
        <v>2</v>
      </c>
      <c r="D27" s="9">
        <v>5.5</v>
      </c>
      <c r="E27" s="9">
        <v>5.5</v>
      </c>
      <c r="F27" s="9">
        <v>79</v>
      </c>
      <c r="G27" s="9">
        <v>2</v>
      </c>
      <c r="H27" s="9">
        <v>9</v>
      </c>
      <c r="I27" s="9">
        <v>0.48</v>
      </c>
      <c r="J27" s="9">
        <v>12.3</v>
      </c>
      <c r="K27" s="9">
        <v>10.7</v>
      </c>
      <c r="L27" s="9">
        <v>15.1</v>
      </c>
      <c r="M27" s="19">
        <f t="shared" si="1"/>
        <v>12.700000000000001</v>
      </c>
    </row>
    <row r="28" spans="1:13" x14ac:dyDescent="0.3">
      <c r="A28" s="8">
        <v>18</v>
      </c>
      <c r="B28" s="8">
        <v>2</v>
      </c>
      <c r="C28" s="9">
        <v>11</v>
      </c>
      <c r="D28" s="9">
        <v>5.5</v>
      </c>
      <c r="E28" s="9">
        <v>5.5</v>
      </c>
      <c r="F28" s="9">
        <v>78</v>
      </c>
      <c r="G28" s="9">
        <v>2</v>
      </c>
      <c r="H28" s="9">
        <v>6</v>
      </c>
      <c r="I28" s="9">
        <v>0.59</v>
      </c>
      <c r="J28" s="9">
        <v>16.3</v>
      </c>
      <c r="K28" s="9">
        <v>12.9</v>
      </c>
      <c r="L28" s="9">
        <v>14</v>
      </c>
      <c r="M28" s="19">
        <f t="shared" si="1"/>
        <v>14.4</v>
      </c>
    </row>
    <row r="29" spans="1:13" x14ac:dyDescent="0.3">
      <c r="A29" s="8">
        <v>19</v>
      </c>
      <c r="B29" s="8">
        <v>2</v>
      </c>
      <c r="C29" s="9">
        <v>7</v>
      </c>
      <c r="D29" s="9">
        <v>6.5</v>
      </c>
      <c r="E29" s="9">
        <v>6.5</v>
      </c>
      <c r="F29" s="9">
        <v>85</v>
      </c>
      <c r="G29" s="9">
        <v>2</v>
      </c>
      <c r="H29" s="9">
        <v>6</v>
      </c>
      <c r="I29" s="9">
        <v>0.69</v>
      </c>
      <c r="J29" s="9">
        <v>13.2</v>
      </c>
      <c r="K29" s="9">
        <v>13.3</v>
      </c>
      <c r="L29" s="9">
        <v>13.4</v>
      </c>
      <c r="M29" s="19">
        <f t="shared" si="1"/>
        <v>13.299999999999999</v>
      </c>
    </row>
    <row r="30" spans="1:13" x14ac:dyDescent="0.3">
      <c r="A30" s="8">
        <v>20</v>
      </c>
      <c r="B30" s="8">
        <v>2</v>
      </c>
      <c r="C30" s="9">
        <v>9</v>
      </c>
      <c r="D30" s="10">
        <v>5.5</v>
      </c>
      <c r="E30" s="9">
        <v>6</v>
      </c>
      <c r="F30" s="9">
        <v>81</v>
      </c>
      <c r="G30" s="9">
        <v>2</v>
      </c>
      <c r="H30" s="9">
        <v>8</v>
      </c>
      <c r="I30" s="9">
        <v>0.63</v>
      </c>
      <c r="J30" s="9">
        <v>13</v>
      </c>
      <c r="K30" s="9">
        <v>13</v>
      </c>
      <c r="L30" s="9">
        <v>14.3</v>
      </c>
      <c r="M30" s="19">
        <f t="shared" si="1"/>
        <v>13.433333333333332</v>
      </c>
    </row>
    <row r="31" spans="1:13" x14ac:dyDescent="0.3">
      <c r="A31" s="8">
        <v>21</v>
      </c>
      <c r="B31" s="8">
        <v>2</v>
      </c>
      <c r="C31" s="9">
        <v>5</v>
      </c>
      <c r="D31" s="9">
        <v>6</v>
      </c>
      <c r="E31" s="9">
        <v>6</v>
      </c>
      <c r="F31" s="9">
        <v>87</v>
      </c>
      <c r="G31" s="9">
        <v>2</v>
      </c>
      <c r="H31" s="9">
        <v>8</v>
      </c>
      <c r="I31" s="9">
        <v>0.67</v>
      </c>
      <c r="J31" s="9">
        <v>13.1</v>
      </c>
      <c r="K31" s="9">
        <v>14.5</v>
      </c>
      <c r="L31" s="9">
        <v>13.9</v>
      </c>
      <c r="M31" s="19">
        <f t="shared" si="1"/>
        <v>13.833333333333334</v>
      </c>
    </row>
    <row r="32" spans="1:13" x14ac:dyDescent="0.3">
      <c r="A32" s="8">
        <v>22</v>
      </c>
      <c r="B32" s="8">
        <v>2</v>
      </c>
      <c r="C32" s="9">
        <v>8</v>
      </c>
      <c r="D32" s="9">
        <v>4.5</v>
      </c>
      <c r="E32" s="9">
        <v>5</v>
      </c>
      <c r="F32" s="9">
        <v>79</v>
      </c>
      <c r="G32" s="9">
        <v>2</v>
      </c>
      <c r="H32" s="9">
        <v>13</v>
      </c>
      <c r="I32" s="9">
        <v>0.46</v>
      </c>
      <c r="J32" s="9">
        <v>15.3</v>
      </c>
      <c r="K32" s="9">
        <v>9.5</v>
      </c>
      <c r="L32" s="9">
        <v>11.2</v>
      </c>
      <c r="M32" s="19">
        <f t="shared" si="1"/>
        <v>12</v>
      </c>
    </row>
    <row r="33" spans="1:13" x14ac:dyDescent="0.3">
      <c r="A33" s="5">
        <v>23</v>
      </c>
      <c r="B33" s="6">
        <v>3</v>
      </c>
      <c r="C33" s="6">
        <v>4</v>
      </c>
      <c r="D33" s="6">
        <v>5.5</v>
      </c>
      <c r="E33" s="6">
        <v>5.5</v>
      </c>
      <c r="F33" s="6">
        <v>76</v>
      </c>
      <c r="G33" s="6">
        <v>2</v>
      </c>
      <c r="H33" s="6">
        <v>13</v>
      </c>
      <c r="I33" s="7">
        <v>0.56999999999999995</v>
      </c>
      <c r="J33" s="6">
        <v>14.7</v>
      </c>
      <c r="K33" s="6">
        <v>14.5</v>
      </c>
      <c r="L33" s="6">
        <v>13.9</v>
      </c>
      <c r="M33" s="17">
        <f>AVERAGE(J33, K33, L33)</f>
        <v>14.366666666666667</v>
      </c>
    </row>
    <row r="34" spans="1:13" x14ac:dyDescent="0.3">
      <c r="A34" s="5">
        <v>24</v>
      </c>
      <c r="B34" s="6">
        <v>3</v>
      </c>
      <c r="C34" s="6">
        <v>1</v>
      </c>
      <c r="D34" s="6">
        <v>5.5</v>
      </c>
      <c r="E34" s="6">
        <v>5.5</v>
      </c>
      <c r="F34" s="6">
        <v>72</v>
      </c>
      <c r="G34" s="6">
        <v>2</v>
      </c>
      <c r="H34" s="6">
        <v>14</v>
      </c>
      <c r="I34" s="7">
        <v>0.5</v>
      </c>
      <c r="J34" s="6">
        <v>10.3</v>
      </c>
      <c r="K34" s="6">
        <v>8.9</v>
      </c>
      <c r="L34" s="6">
        <v>11</v>
      </c>
      <c r="M34" s="17">
        <f t="shared" ref="M34:M44" si="2">AVERAGE(J34, K34, L34)</f>
        <v>10.066666666666668</v>
      </c>
    </row>
    <row r="35" spans="1:13" x14ac:dyDescent="0.3">
      <c r="A35" s="5">
        <v>25</v>
      </c>
      <c r="B35" s="6">
        <v>3</v>
      </c>
      <c r="C35" s="6">
        <v>9</v>
      </c>
      <c r="D35" s="6">
        <v>5.5</v>
      </c>
      <c r="E35" s="6">
        <v>5.5</v>
      </c>
      <c r="F35" s="6">
        <v>83</v>
      </c>
      <c r="G35" s="6">
        <v>2</v>
      </c>
      <c r="H35" s="6">
        <v>17</v>
      </c>
      <c r="I35" s="6">
        <v>0.6</v>
      </c>
      <c r="J35" s="6">
        <v>12.3</v>
      </c>
      <c r="K35" s="6">
        <v>13.1</v>
      </c>
      <c r="L35" s="6">
        <v>13</v>
      </c>
      <c r="M35" s="17">
        <f t="shared" si="2"/>
        <v>12.799999999999999</v>
      </c>
    </row>
    <row r="36" spans="1:13" x14ac:dyDescent="0.3">
      <c r="A36" s="5">
        <v>26</v>
      </c>
      <c r="B36" s="6">
        <v>3</v>
      </c>
      <c r="C36" s="6">
        <v>2</v>
      </c>
      <c r="D36" s="6">
        <v>5.5</v>
      </c>
      <c r="E36" s="6">
        <v>5.5</v>
      </c>
      <c r="F36" s="6">
        <v>81</v>
      </c>
      <c r="G36" s="6">
        <v>2</v>
      </c>
      <c r="H36" s="6">
        <v>10</v>
      </c>
      <c r="I36" s="6">
        <v>0.56999999999999995</v>
      </c>
      <c r="J36" s="6">
        <v>10.199999999999999</v>
      </c>
      <c r="K36" s="6">
        <v>9.9</v>
      </c>
      <c r="L36" s="6">
        <v>10.3</v>
      </c>
      <c r="M36" s="17">
        <f t="shared" si="2"/>
        <v>10.133333333333335</v>
      </c>
    </row>
    <row r="37" spans="1:13" x14ac:dyDescent="0.3">
      <c r="A37" s="5">
        <v>27</v>
      </c>
      <c r="B37" s="6">
        <v>3</v>
      </c>
      <c r="C37" s="6">
        <v>6</v>
      </c>
      <c r="D37" s="6">
        <v>5.5</v>
      </c>
      <c r="E37" s="6">
        <v>5.5</v>
      </c>
      <c r="F37" s="6">
        <v>78</v>
      </c>
      <c r="G37" s="6">
        <v>2</v>
      </c>
      <c r="H37" s="6">
        <v>15</v>
      </c>
      <c r="I37" s="6">
        <v>0.53</v>
      </c>
      <c r="J37" s="6">
        <v>10.5</v>
      </c>
      <c r="K37" s="6">
        <v>11.2</v>
      </c>
      <c r="L37" s="6">
        <v>11.4</v>
      </c>
      <c r="M37" s="17">
        <f t="shared" si="2"/>
        <v>11.033333333333333</v>
      </c>
    </row>
    <row r="38" spans="1:13" x14ac:dyDescent="0.3">
      <c r="A38" s="5">
        <v>28</v>
      </c>
      <c r="B38" s="6">
        <v>3</v>
      </c>
      <c r="C38" s="6">
        <v>11</v>
      </c>
      <c r="D38" s="6">
        <v>6</v>
      </c>
      <c r="E38" s="6">
        <v>6.5</v>
      </c>
      <c r="F38" s="6">
        <v>85</v>
      </c>
      <c r="G38" s="6">
        <v>2</v>
      </c>
      <c r="H38" s="6">
        <v>10</v>
      </c>
      <c r="I38" s="6">
        <v>0.77</v>
      </c>
      <c r="J38" s="6">
        <v>15.6</v>
      </c>
      <c r="K38" s="6">
        <v>14.5</v>
      </c>
      <c r="L38" s="6">
        <v>14</v>
      </c>
      <c r="M38" s="17">
        <f t="shared" si="2"/>
        <v>14.700000000000001</v>
      </c>
    </row>
    <row r="39" spans="1:13" x14ac:dyDescent="0.3">
      <c r="A39" s="5">
        <v>29</v>
      </c>
      <c r="B39" s="6">
        <v>3</v>
      </c>
      <c r="C39" s="6">
        <v>5</v>
      </c>
      <c r="D39" s="6">
        <v>6</v>
      </c>
      <c r="E39" s="6">
        <v>6</v>
      </c>
      <c r="F39" s="6">
        <v>86</v>
      </c>
      <c r="G39" s="6">
        <v>2</v>
      </c>
      <c r="H39" s="6">
        <v>7</v>
      </c>
      <c r="I39" s="7">
        <v>0.67</v>
      </c>
      <c r="J39" s="6">
        <v>15.3</v>
      </c>
      <c r="K39" s="6">
        <v>13.8</v>
      </c>
      <c r="L39" s="6">
        <v>13.5</v>
      </c>
      <c r="M39" s="17">
        <f t="shared" si="2"/>
        <v>14.200000000000001</v>
      </c>
    </row>
    <row r="40" spans="1:13" x14ac:dyDescent="0.3">
      <c r="A40" s="11" t="s">
        <v>17</v>
      </c>
      <c r="B40" s="11" t="s">
        <v>17</v>
      </c>
      <c r="C40" s="11" t="s">
        <v>17</v>
      </c>
      <c r="D40" s="11" t="s">
        <v>17</v>
      </c>
      <c r="E40" s="11" t="s">
        <v>17</v>
      </c>
      <c r="F40" s="11" t="s">
        <v>17</v>
      </c>
      <c r="G40" s="11" t="s">
        <v>17</v>
      </c>
      <c r="H40" s="11" t="s">
        <v>17</v>
      </c>
      <c r="I40" s="11" t="s">
        <v>17</v>
      </c>
      <c r="J40" s="11" t="s">
        <v>17</v>
      </c>
      <c r="K40" s="11" t="s">
        <v>17</v>
      </c>
      <c r="L40" s="11" t="s">
        <v>17</v>
      </c>
      <c r="M40" s="11" t="s">
        <v>17</v>
      </c>
    </row>
    <row r="41" spans="1:13" x14ac:dyDescent="0.3">
      <c r="A41" s="5">
        <v>30</v>
      </c>
      <c r="B41" s="6">
        <v>3</v>
      </c>
      <c r="C41" s="6">
        <v>8</v>
      </c>
      <c r="D41" s="6">
        <v>5.5</v>
      </c>
      <c r="E41" s="6">
        <v>5.5</v>
      </c>
      <c r="F41" s="6">
        <v>85</v>
      </c>
      <c r="G41" s="6">
        <v>2</v>
      </c>
      <c r="H41" s="6">
        <v>15</v>
      </c>
      <c r="I41" s="6">
        <v>0.56999999999999995</v>
      </c>
      <c r="J41" s="6">
        <v>13.6</v>
      </c>
      <c r="K41" s="6">
        <v>11.9</v>
      </c>
      <c r="L41" s="6">
        <v>11.4</v>
      </c>
      <c r="M41" s="17">
        <f t="shared" si="2"/>
        <v>12.299999999999999</v>
      </c>
    </row>
    <row r="42" spans="1:13" x14ac:dyDescent="0.3">
      <c r="A42" s="5">
        <v>31</v>
      </c>
      <c r="B42" s="6">
        <v>3</v>
      </c>
      <c r="C42" s="6">
        <v>3</v>
      </c>
      <c r="D42" s="6">
        <v>5</v>
      </c>
      <c r="E42" s="6">
        <v>5</v>
      </c>
      <c r="F42" s="6">
        <v>76</v>
      </c>
      <c r="G42" s="6">
        <v>2</v>
      </c>
      <c r="H42" s="6">
        <v>17</v>
      </c>
      <c r="I42" s="6">
        <v>0.63</v>
      </c>
      <c r="J42" s="6">
        <v>13.2</v>
      </c>
      <c r="K42" s="6">
        <v>12.6</v>
      </c>
      <c r="L42" s="6">
        <v>10.4</v>
      </c>
      <c r="M42" s="17">
        <f t="shared" si="2"/>
        <v>12.066666666666665</v>
      </c>
    </row>
    <row r="43" spans="1:13" x14ac:dyDescent="0.3">
      <c r="A43" s="5">
        <v>32</v>
      </c>
      <c r="B43" s="6">
        <v>3</v>
      </c>
      <c r="C43" s="6">
        <v>7</v>
      </c>
      <c r="D43" s="6">
        <v>5.5</v>
      </c>
      <c r="E43" s="6">
        <v>5.5</v>
      </c>
      <c r="F43" s="6">
        <v>83</v>
      </c>
      <c r="G43" s="6">
        <v>2</v>
      </c>
      <c r="H43" s="6">
        <v>8</v>
      </c>
      <c r="I43" s="6">
        <v>0.69</v>
      </c>
      <c r="J43" s="6">
        <v>13.2</v>
      </c>
      <c r="K43" s="6">
        <v>11.5</v>
      </c>
      <c r="L43" s="7">
        <v>10.7</v>
      </c>
      <c r="M43" s="17">
        <f t="shared" si="2"/>
        <v>11.799999999999999</v>
      </c>
    </row>
    <row r="44" spans="1:13" x14ac:dyDescent="0.3">
      <c r="A44" s="5">
        <v>33</v>
      </c>
      <c r="B44" s="6">
        <v>3</v>
      </c>
      <c r="C44" s="6">
        <v>10</v>
      </c>
      <c r="D44" s="6">
        <v>6</v>
      </c>
      <c r="E44" s="6">
        <v>6.5</v>
      </c>
      <c r="F44" s="6">
        <v>86</v>
      </c>
      <c r="G44" s="6">
        <v>2</v>
      </c>
      <c r="H44" s="6">
        <v>8</v>
      </c>
      <c r="I44" s="6">
        <v>0.72</v>
      </c>
      <c r="J44" s="6">
        <v>13.6</v>
      </c>
      <c r="K44" s="6">
        <v>11.5</v>
      </c>
      <c r="L44" s="6">
        <v>12.5</v>
      </c>
      <c r="M44" s="17">
        <f t="shared" si="2"/>
        <v>12.533333333333333</v>
      </c>
    </row>
    <row r="45" spans="1:13" x14ac:dyDescent="0.3">
      <c r="A45" s="8">
        <v>34</v>
      </c>
      <c r="B45" s="9">
        <v>4</v>
      </c>
      <c r="C45" s="9">
        <v>7</v>
      </c>
      <c r="D45" s="10">
        <v>4.5</v>
      </c>
      <c r="E45" s="9">
        <v>4.5</v>
      </c>
      <c r="F45" s="9">
        <v>80</v>
      </c>
      <c r="G45" s="9">
        <v>2</v>
      </c>
      <c r="H45" s="9">
        <v>15</v>
      </c>
      <c r="I45" s="10">
        <v>0.59</v>
      </c>
      <c r="J45" s="9">
        <v>12.5</v>
      </c>
      <c r="K45" s="9">
        <v>12.9</v>
      </c>
      <c r="L45" s="9">
        <v>13.5</v>
      </c>
      <c r="M45" s="19">
        <f>AVERAGE(J45, K45, L45)</f>
        <v>12.966666666666667</v>
      </c>
    </row>
    <row r="46" spans="1:13" x14ac:dyDescent="0.3">
      <c r="A46" s="8">
        <v>35</v>
      </c>
      <c r="B46" s="9">
        <v>4</v>
      </c>
      <c r="C46" s="9">
        <v>8</v>
      </c>
      <c r="D46" s="9">
        <v>4</v>
      </c>
      <c r="E46" s="9">
        <v>4</v>
      </c>
      <c r="F46" s="9">
        <v>76</v>
      </c>
      <c r="G46" s="9">
        <v>3</v>
      </c>
      <c r="H46" s="9">
        <v>25</v>
      </c>
      <c r="I46" s="9">
        <v>0.63</v>
      </c>
      <c r="J46" s="9">
        <v>13.1</v>
      </c>
      <c r="K46" s="9">
        <v>11.8</v>
      </c>
      <c r="L46" s="9">
        <v>13.7</v>
      </c>
      <c r="M46" s="19">
        <f t="shared" ref="M46:M56" si="3">AVERAGE(J46, K46, L46)</f>
        <v>12.866666666666665</v>
      </c>
    </row>
    <row r="47" spans="1:13" x14ac:dyDescent="0.3">
      <c r="A47" s="8">
        <v>36</v>
      </c>
      <c r="B47" s="9">
        <v>4</v>
      </c>
      <c r="C47" s="9">
        <v>11</v>
      </c>
      <c r="D47" s="9">
        <v>5.5</v>
      </c>
      <c r="E47" s="9">
        <v>5.5</v>
      </c>
      <c r="F47" s="9">
        <v>81</v>
      </c>
      <c r="G47" s="9">
        <v>3</v>
      </c>
      <c r="H47" s="9">
        <v>22</v>
      </c>
      <c r="I47" s="9">
        <v>0.75</v>
      </c>
      <c r="J47" s="9">
        <v>16</v>
      </c>
      <c r="K47" s="9">
        <v>15.2</v>
      </c>
      <c r="L47" s="9">
        <v>13.4</v>
      </c>
      <c r="M47" s="19">
        <f t="shared" si="3"/>
        <v>14.866666666666667</v>
      </c>
    </row>
    <row r="48" spans="1:13" x14ac:dyDescent="0.3">
      <c r="A48" s="8">
        <v>37</v>
      </c>
      <c r="B48" s="9">
        <v>4</v>
      </c>
      <c r="C48" s="9">
        <v>5</v>
      </c>
      <c r="D48" s="9">
        <v>5.5</v>
      </c>
      <c r="E48" s="9">
        <v>6</v>
      </c>
      <c r="F48" s="9">
        <v>84</v>
      </c>
      <c r="G48" s="9">
        <v>2</v>
      </c>
      <c r="H48" s="9">
        <v>11</v>
      </c>
      <c r="I48" s="9">
        <v>0.63</v>
      </c>
      <c r="J48" s="9">
        <v>13.1</v>
      </c>
      <c r="K48" s="9">
        <v>13</v>
      </c>
      <c r="L48" s="9">
        <v>12.5</v>
      </c>
      <c r="M48" s="19">
        <f t="shared" si="3"/>
        <v>12.866666666666667</v>
      </c>
    </row>
    <row r="49" spans="1:13" x14ac:dyDescent="0.3">
      <c r="A49" s="8">
        <v>38</v>
      </c>
      <c r="B49" s="9">
        <v>4</v>
      </c>
      <c r="C49" s="9">
        <v>9</v>
      </c>
      <c r="D49" s="9">
        <v>5.5</v>
      </c>
      <c r="E49" s="9">
        <v>5.5</v>
      </c>
      <c r="F49" s="9">
        <v>82</v>
      </c>
      <c r="G49" s="9">
        <v>2</v>
      </c>
      <c r="H49" s="9">
        <v>16</v>
      </c>
      <c r="I49" s="9">
        <v>0.59</v>
      </c>
      <c r="J49" s="9">
        <v>12.5</v>
      </c>
      <c r="K49" s="9">
        <v>12.7</v>
      </c>
      <c r="L49" s="9">
        <v>11.5</v>
      </c>
      <c r="M49" s="19">
        <f t="shared" si="3"/>
        <v>12.233333333333334</v>
      </c>
    </row>
    <row r="50" spans="1:13" x14ac:dyDescent="0.3">
      <c r="A50" s="11" t="s">
        <v>17</v>
      </c>
      <c r="B50" s="11" t="s">
        <v>17</v>
      </c>
      <c r="C50" s="11" t="s">
        <v>17</v>
      </c>
      <c r="D50" s="11" t="s">
        <v>17</v>
      </c>
      <c r="E50" s="11" t="s">
        <v>17</v>
      </c>
      <c r="F50" s="11" t="s">
        <v>17</v>
      </c>
      <c r="G50" s="11" t="s">
        <v>17</v>
      </c>
      <c r="H50" s="11" t="s">
        <v>17</v>
      </c>
      <c r="I50" s="11" t="s">
        <v>17</v>
      </c>
      <c r="J50" s="11" t="s">
        <v>17</v>
      </c>
      <c r="K50" s="11" t="s">
        <v>17</v>
      </c>
      <c r="L50" s="11" t="s">
        <v>17</v>
      </c>
      <c r="M50" s="11" t="s">
        <v>17</v>
      </c>
    </row>
    <row r="51" spans="1:13" x14ac:dyDescent="0.3">
      <c r="A51" s="8">
        <v>39</v>
      </c>
      <c r="B51" s="9">
        <v>4</v>
      </c>
      <c r="C51" s="9">
        <v>6</v>
      </c>
      <c r="D51" s="9">
        <v>5.5</v>
      </c>
      <c r="E51" s="9">
        <v>5.5</v>
      </c>
      <c r="F51" s="9">
        <v>80</v>
      </c>
      <c r="G51" s="9">
        <v>2</v>
      </c>
      <c r="H51" s="9">
        <v>15</v>
      </c>
      <c r="I51" s="9">
        <v>0.52</v>
      </c>
      <c r="J51" s="9">
        <v>13.2</v>
      </c>
      <c r="K51" s="9">
        <v>9.8000000000000007</v>
      </c>
      <c r="L51" s="9">
        <v>11.9</v>
      </c>
      <c r="M51" s="19">
        <f t="shared" si="3"/>
        <v>11.633333333333333</v>
      </c>
    </row>
    <row r="52" spans="1:13" x14ac:dyDescent="0.3">
      <c r="A52" s="8">
        <v>40</v>
      </c>
      <c r="B52" s="9">
        <v>4</v>
      </c>
      <c r="C52" s="9">
        <v>2</v>
      </c>
      <c r="D52" s="9">
        <v>5</v>
      </c>
      <c r="E52" s="10">
        <v>5</v>
      </c>
      <c r="F52" s="9">
        <v>81</v>
      </c>
      <c r="G52" s="9">
        <v>3</v>
      </c>
      <c r="H52" s="9">
        <v>30</v>
      </c>
      <c r="I52" s="9">
        <v>0.68</v>
      </c>
      <c r="J52" s="10">
        <v>13.2</v>
      </c>
      <c r="K52" s="10">
        <v>12.5</v>
      </c>
      <c r="L52" s="9">
        <v>10.8</v>
      </c>
      <c r="M52" s="19">
        <f t="shared" si="3"/>
        <v>12.166666666666666</v>
      </c>
    </row>
    <row r="53" spans="1:13" x14ac:dyDescent="0.3">
      <c r="A53" s="8">
        <v>41</v>
      </c>
      <c r="B53" s="9">
        <v>4</v>
      </c>
      <c r="C53" s="9">
        <v>10</v>
      </c>
      <c r="D53" s="9">
        <v>5</v>
      </c>
      <c r="E53" s="9">
        <v>5</v>
      </c>
      <c r="F53" s="9">
        <v>80</v>
      </c>
      <c r="G53" s="9">
        <v>2</v>
      </c>
      <c r="H53" s="9">
        <v>17</v>
      </c>
      <c r="I53" s="9">
        <v>0.63</v>
      </c>
      <c r="J53" s="9">
        <v>11.8</v>
      </c>
      <c r="K53" s="9">
        <v>10.9</v>
      </c>
      <c r="L53" s="9">
        <v>11.7</v>
      </c>
      <c r="M53" s="19">
        <f t="shared" si="3"/>
        <v>11.466666666666669</v>
      </c>
    </row>
    <row r="54" spans="1:13" x14ac:dyDescent="0.3">
      <c r="A54" s="8">
        <v>42</v>
      </c>
      <c r="B54" s="9">
        <v>4</v>
      </c>
      <c r="C54" s="9">
        <v>1</v>
      </c>
      <c r="D54" s="9">
        <v>4</v>
      </c>
      <c r="E54" s="9">
        <v>4.5</v>
      </c>
      <c r="F54" s="9">
        <v>72</v>
      </c>
      <c r="G54" s="9">
        <v>3</v>
      </c>
      <c r="H54" s="9">
        <v>35</v>
      </c>
      <c r="I54" s="9">
        <v>0.49</v>
      </c>
      <c r="J54" s="9">
        <v>11.8</v>
      </c>
      <c r="K54" s="9">
        <v>11.7</v>
      </c>
      <c r="L54" s="9">
        <v>9.1</v>
      </c>
      <c r="M54" s="19">
        <f t="shared" si="3"/>
        <v>10.866666666666667</v>
      </c>
    </row>
    <row r="55" spans="1:13" x14ac:dyDescent="0.3">
      <c r="A55" s="8">
        <v>43</v>
      </c>
      <c r="B55" s="9">
        <v>4</v>
      </c>
      <c r="C55" s="9">
        <v>4</v>
      </c>
      <c r="D55" s="9">
        <v>5.5</v>
      </c>
      <c r="E55" s="9">
        <v>6</v>
      </c>
      <c r="F55" s="9">
        <v>76</v>
      </c>
      <c r="G55" s="9">
        <v>2</v>
      </c>
      <c r="H55" s="9">
        <v>13</v>
      </c>
      <c r="I55" s="9">
        <v>0.63</v>
      </c>
      <c r="J55" s="9">
        <v>11.2</v>
      </c>
      <c r="K55" s="9">
        <v>12.6</v>
      </c>
      <c r="L55" s="9">
        <v>11</v>
      </c>
      <c r="M55" s="19">
        <f t="shared" si="3"/>
        <v>11.6</v>
      </c>
    </row>
    <row r="56" spans="1:13" x14ac:dyDescent="0.3">
      <c r="A56" s="8">
        <v>44</v>
      </c>
      <c r="B56" s="9">
        <v>4</v>
      </c>
      <c r="C56" s="9">
        <v>3</v>
      </c>
      <c r="D56" s="9">
        <v>6</v>
      </c>
      <c r="E56" s="9">
        <v>6.5</v>
      </c>
      <c r="F56" s="9">
        <v>86</v>
      </c>
      <c r="G56" s="9">
        <v>2</v>
      </c>
      <c r="H56" s="9">
        <v>10</v>
      </c>
      <c r="I56" s="9">
        <v>0.75</v>
      </c>
      <c r="J56" s="9">
        <v>17.600000000000001</v>
      </c>
      <c r="K56" s="9">
        <v>16.100000000000001</v>
      </c>
      <c r="L56" s="9">
        <v>15.3</v>
      </c>
      <c r="M56" s="19">
        <f t="shared" si="3"/>
        <v>16.333333333333332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F63B9-5CF4-4EA3-852D-29C880B5D484}">
  <dimension ref="A1:M56"/>
  <sheetViews>
    <sheetView zoomScale="80" zoomScaleNormal="80" workbookViewId="0">
      <selection activeCell="T11" sqref="T11"/>
    </sheetView>
  </sheetViews>
  <sheetFormatPr defaultRowHeight="14.4" x14ac:dyDescent="0.3"/>
  <sheetData>
    <row r="1" spans="1:13" x14ac:dyDescent="0.3">
      <c r="A1" t="s">
        <v>7</v>
      </c>
      <c r="C1" t="s">
        <v>8</v>
      </c>
    </row>
    <row r="2" spans="1:13" x14ac:dyDescent="0.3">
      <c r="A2" s="1" t="s">
        <v>13</v>
      </c>
      <c r="B2" t="s">
        <v>52</v>
      </c>
    </row>
    <row r="3" spans="1:13" x14ac:dyDescent="0.3">
      <c r="A3" s="1" t="s">
        <v>12</v>
      </c>
      <c r="B3" t="s">
        <v>24</v>
      </c>
    </row>
    <row r="4" spans="1:13" x14ac:dyDescent="0.3">
      <c r="A4" s="1" t="s">
        <v>11</v>
      </c>
      <c r="B4" t="s">
        <v>25</v>
      </c>
    </row>
    <row r="5" spans="1:13" x14ac:dyDescent="0.3">
      <c r="A5" t="s">
        <v>6</v>
      </c>
      <c r="B5" t="s">
        <v>53</v>
      </c>
    </row>
    <row r="6" spans="1:13" ht="15" thickBot="1" x14ac:dyDescent="0.35">
      <c r="A6" s="1" t="s">
        <v>0</v>
      </c>
    </row>
    <row r="7" spans="1:13" ht="15" thickBot="1" x14ac:dyDescent="0.35">
      <c r="A7" s="1"/>
      <c r="J7" s="12"/>
      <c r="K7" s="13" t="s">
        <v>9</v>
      </c>
      <c r="L7" s="14"/>
      <c r="M7" s="15"/>
    </row>
    <row r="8" spans="1:13" ht="15" thickBot="1" x14ac:dyDescent="0.35">
      <c r="A8" s="2" t="s">
        <v>1</v>
      </c>
      <c r="B8" s="3" t="s">
        <v>2</v>
      </c>
      <c r="C8" s="4" t="s">
        <v>3</v>
      </c>
      <c r="D8" s="2" t="s">
        <v>4</v>
      </c>
      <c r="E8" s="3" t="s">
        <v>5</v>
      </c>
      <c r="F8" s="3" t="s">
        <v>16</v>
      </c>
      <c r="G8" s="3" t="s">
        <v>14</v>
      </c>
      <c r="H8" s="3" t="s">
        <v>15</v>
      </c>
      <c r="I8" s="3" t="s">
        <v>10</v>
      </c>
      <c r="J8" s="16" t="s">
        <v>18</v>
      </c>
      <c r="K8" s="16" t="s">
        <v>19</v>
      </c>
      <c r="L8" s="16" t="s">
        <v>20</v>
      </c>
      <c r="M8" s="16" t="s">
        <v>21</v>
      </c>
    </row>
    <row r="9" spans="1:13" x14ac:dyDescent="0.3">
      <c r="A9" s="5">
        <v>1</v>
      </c>
      <c r="B9" s="5">
        <v>1</v>
      </c>
      <c r="C9" s="5">
        <v>8</v>
      </c>
      <c r="D9" s="6">
        <v>4</v>
      </c>
      <c r="E9" s="6">
        <v>5.5</v>
      </c>
      <c r="F9" s="6">
        <v>70</v>
      </c>
      <c r="G9" s="6">
        <v>3</v>
      </c>
      <c r="H9" s="6">
        <v>34</v>
      </c>
      <c r="I9" s="6">
        <v>0.6</v>
      </c>
      <c r="J9" s="6">
        <v>21.6</v>
      </c>
      <c r="K9" s="6">
        <v>16.100000000000001</v>
      </c>
      <c r="L9" s="6">
        <v>17.7</v>
      </c>
      <c r="M9" s="17">
        <f>AVERAGE(J9, K9, L9)</f>
        <v>18.466666666666669</v>
      </c>
    </row>
    <row r="10" spans="1:13" x14ac:dyDescent="0.3">
      <c r="A10" s="5">
        <v>2</v>
      </c>
      <c r="B10" s="5">
        <v>1</v>
      </c>
      <c r="C10" s="6">
        <v>9</v>
      </c>
      <c r="D10" s="6">
        <v>4.5</v>
      </c>
      <c r="E10" s="6">
        <v>6</v>
      </c>
      <c r="F10" s="6">
        <v>81</v>
      </c>
      <c r="G10" s="6">
        <v>2</v>
      </c>
      <c r="H10" s="6">
        <v>17</v>
      </c>
      <c r="I10" s="6">
        <v>0.69</v>
      </c>
      <c r="J10" s="6">
        <v>24.1</v>
      </c>
      <c r="K10" s="6">
        <v>25.1</v>
      </c>
      <c r="L10" s="7">
        <v>27.3</v>
      </c>
      <c r="M10" s="17">
        <f t="shared" ref="M10:M20" si="0">AVERAGE(J10, K10, L10)</f>
        <v>25.5</v>
      </c>
    </row>
    <row r="11" spans="1:13" x14ac:dyDescent="0.3">
      <c r="A11" s="5">
        <v>3</v>
      </c>
      <c r="B11" s="5">
        <v>1</v>
      </c>
      <c r="C11" s="6">
        <v>7</v>
      </c>
      <c r="D11" s="6">
        <v>5</v>
      </c>
      <c r="E11" s="6">
        <v>6</v>
      </c>
      <c r="F11" s="6">
        <v>85</v>
      </c>
      <c r="G11" s="6">
        <v>2</v>
      </c>
      <c r="H11" s="6">
        <v>8</v>
      </c>
      <c r="I11" s="6">
        <v>0.76</v>
      </c>
      <c r="J11" s="6">
        <v>28.5</v>
      </c>
      <c r="K11" s="6">
        <v>25.6</v>
      </c>
      <c r="L11" s="6">
        <v>27.7</v>
      </c>
      <c r="M11" s="17">
        <f t="shared" si="0"/>
        <v>27.266666666666666</v>
      </c>
    </row>
    <row r="12" spans="1:13" x14ac:dyDescent="0.3">
      <c r="A12" s="5">
        <v>4</v>
      </c>
      <c r="B12" s="5">
        <v>1</v>
      </c>
      <c r="C12" s="6">
        <v>3</v>
      </c>
      <c r="D12" s="6">
        <v>5</v>
      </c>
      <c r="E12" s="6">
        <v>5.5</v>
      </c>
      <c r="F12" s="6">
        <v>84</v>
      </c>
      <c r="G12" s="6">
        <v>2</v>
      </c>
      <c r="H12" s="6">
        <v>7</v>
      </c>
      <c r="I12" s="6">
        <v>0.67</v>
      </c>
      <c r="J12" s="6">
        <v>26.3</v>
      </c>
      <c r="K12" s="6">
        <v>21.5</v>
      </c>
      <c r="L12" s="6">
        <v>23.3</v>
      </c>
      <c r="M12" s="17">
        <f t="shared" si="0"/>
        <v>23.7</v>
      </c>
    </row>
    <row r="13" spans="1:13" x14ac:dyDescent="0.3">
      <c r="A13" s="11" t="s">
        <v>17</v>
      </c>
      <c r="B13" s="11" t="s">
        <v>17</v>
      </c>
      <c r="C13" s="11" t="s">
        <v>17</v>
      </c>
      <c r="D13" s="11" t="s">
        <v>17</v>
      </c>
      <c r="E13" s="11" t="s">
        <v>17</v>
      </c>
      <c r="F13" s="20" t="s">
        <v>17</v>
      </c>
      <c r="G13" s="11" t="s">
        <v>17</v>
      </c>
      <c r="H13" s="11" t="s">
        <v>17</v>
      </c>
      <c r="I13" s="11" t="s">
        <v>17</v>
      </c>
      <c r="J13" s="11" t="s">
        <v>17</v>
      </c>
      <c r="K13" s="11" t="s">
        <v>17</v>
      </c>
      <c r="L13" s="11" t="s">
        <v>17</v>
      </c>
      <c r="M13" s="11" t="s">
        <v>17</v>
      </c>
    </row>
    <row r="14" spans="1:13" x14ac:dyDescent="0.3">
      <c r="A14" s="5">
        <v>5</v>
      </c>
      <c r="B14" s="5">
        <v>1</v>
      </c>
      <c r="C14" s="6">
        <v>2</v>
      </c>
      <c r="D14" s="6">
        <v>5.5</v>
      </c>
      <c r="E14" s="6">
        <v>6</v>
      </c>
      <c r="F14" s="6">
        <v>81</v>
      </c>
      <c r="G14" s="6">
        <v>2</v>
      </c>
      <c r="H14" s="6">
        <v>9</v>
      </c>
      <c r="I14" s="6">
        <v>0.65</v>
      </c>
      <c r="J14" s="6">
        <v>24.6</v>
      </c>
      <c r="K14" s="6">
        <v>15.8</v>
      </c>
      <c r="L14" s="7">
        <v>16.7</v>
      </c>
      <c r="M14" s="17">
        <f t="shared" si="0"/>
        <v>19.033333333333335</v>
      </c>
    </row>
    <row r="15" spans="1:13" x14ac:dyDescent="0.3">
      <c r="A15" s="5">
        <v>6</v>
      </c>
      <c r="B15" s="5">
        <v>1</v>
      </c>
      <c r="C15" s="6">
        <v>10</v>
      </c>
      <c r="D15" s="6">
        <v>4.5</v>
      </c>
      <c r="E15" s="6">
        <v>5</v>
      </c>
      <c r="F15" s="6">
        <v>75</v>
      </c>
      <c r="G15" s="6">
        <v>3</v>
      </c>
      <c r="H15" s="6">
        <v>28</v>
      </c>
      <c r="I15" s="6">
        <v>0.72</v>
      </c>
      <c r="J15" s="6">
        <v>19.600000000000001</v>
      </c>
      <c r="K15" s="6">
        <v>21.7</v>
      </c>
      <c r="L15" s="6">
        <v>20.7</v>
      </c>
      <c r="M15" s="17">
        <f t="shared" si="0"/>
        <v>20.666666666666668</v>
      </c>
    </row>
    <row r="16" spans="1:13" x14ac:dyDescent="0.3">
      <c r="A16" s="5">
        <v>7</v>
      </c>
      <c r="B16" s="5">
        <v>1</v>
      </c>
      <c r="C16" s="6">
        <v>4</v>
      </c>
      <c r="D16" s="6">
        <v>3.5</v>
      </c>
      <c r="E16" s="6">
        <v>4.5</v>
      </c>
      <c r="F16" s="6">
        <v>68</v>
      </c>
      <c r="G16" s="6">
        <v>3</v>
      </c>
      <c r="H16" s="6">
        <v>41</v>
      </c>
      <c r="I16" s="6">
        <v>0.64</v>
      </c>
      <c r="J16" s="7">
        <v>18.3</v>
      </c>
      <c r="K16" s="6">
        <v>23.4</v>
      </c>
      <c r="L16" s="6">
        <v>18.399999999999999</v>
      </c>
      <c r="M16" s="17">
        <f t="shared" si="0"/>
        <v>20.033333333333335</v>
      </c>
    </row>
    <row r="17" spans="1:13" x14ac:dyDescent="0.3">
      <c r="A17" s="5">
        <v>8</v>
      </c>
      <c r="B17" s="5">
        <v>1</v>
      </c>
      <c r="C17" s="6">
        <v>5</v>
      </c>
      <c r="D17" s="6">
        <v>6</v>
      </c>
      <c r="E17" s="6">
        <v>6.5</v>
      </c>
      <c r="F17" s="6">
        <v>87</v>
      </c>
      <c r="G17" s="6">
        <v>1</v>
      </c>
      <c r="H17" s="6">
        <v>0</v>
      </c>
      <c r="I17" s="6">
        <v>0.81</v>
      </c>
      <c r="J17" s="6">
        <v>18</v>
      </c>
      <c r="K17" s="6">
        <v>21.5</v>
      </c>
      <c r="L17" s="6">
        <v>22.4</v>
      </c>
      <c r="M17" s="17">
        <f t="shared" si="0"/>
        <v>20.633333333333333</v>
      </c>
    </row>
    <row r="18" spans="1:13" x14ac:dyDescent="0.3">
      <c r="A18" s="5">
        <v>9</v>
      </c>
      <c r="B18" s="5">
        <v>1</v>
      </c>
      <c r="C18" s="6">
        <v>11</v>
      </c>
      <c r="D18" s="6">
        <v>6</v>
      </c>
      <c r="E18" s="6">
        <v>6</v>
      </c>
      <c r="F18" s="6">
        <v>83</v>
      </c>
      <c r="G18" s="6">
        <v>2</v>
      </c>
      <c r="H18" s="6">
        <v>5</v>
      </c>
      <c r="I18" s="6">
        <v>0.71</v>
      </c>
      <c r="J18" s="6">
        <v>23.6</v>
      </c>
      <c r="K18" s="6">
        <v>20.9</v>
      </c>
      <c r="L18" s="6">
        <v>22.6</v>
      </c>
      <c r="M18" s="17">
        <f t="shared" si="0"/>
        <v>22.366666666666664</v>
      </c>
    </row>
    <row r="19" spans="1:13" x14ac:dyDescent="0.3">
      <c r="A19" s="5">
        <v>10</v>
      </c>
      <c r="B19" s="5">
        <v>1</v>
      </c>
      <c r="C19" s="6">
        <v>1</v>
      </c>
      <c r="D19" s="6">
        <v>5.5</v>
      </c>
      <c r="E19" s="6">
        <v>6</v>
      </c>
      <c r="F19" s="6">
        <v>81</v>
      </c>
      <c r="G19" s="6">
        <v>2</v>
      </c>
      <c r="H19" s="6">
        <v>12</v>
      </c>
      <c r="I19" s="6">
        <v>0.75</v>
      </c>
      <c r="J19" s="6">
        <v>19.600000000000001</v>
      </c>
      <c r="K19" s="6">
        <v>22.7</v>
      </c>
      <c r="L19" s="6">
        <v>14.6</v>
      </c>
      <c r="M19" s="17">
        <f t="shared" si="0"/>
        <v>18.966666666666665</v>
      </c>
    </row>
    <row r="20" spans="1:13" x14ac:dyDescent="0.3">
      <c r="A20" s="5">
        <v>11</v>
      </c>
      <c r="B20" s="5">
        <v>1</v>
      </c>
      <c r="C20" s="6">
        <v>6</v>
      </c>
      <c r="D20" s="6">
        <v>4.5</v>
      </c>
      <c r="E20" s="6">
        <v>5</v>
      </c>
      <c r="F20" s="6">
        <v>79</v>
      </c>
      <c r="G20" s="6">
        <v>2</v>
      </c>
      <c r="H20" s="6">
        <v>13</v>
      </c>
      <c r="I20" s="6">
        <v>0.64</v>
      </c>
      <c r="J20" s="6">
        <v>20.8</v>
      </c>
      <c r="K20" s="6">
        <v>23.5</v>
      </c>
      <c r="L20" s="6">
        <v>16.8</v>
      </c>
      <c r="M20" s="17">
        <f t="shared" si="0"/>
        <v>20.366666666666664</v>
      </c>
    </row>
    <row r="21" spans="1:13" x14ac:dyDescent="0.3">
      <c r="A21" s="8">
        <v>12</v>
      </c>
      <c r="B21" s="8">
        <v>2</v>
      </c>
      <c r="C21" s="9">
        <v>1</v>
      </c>
      <c r="D21" s="9">
        <v>3.5</v>
      </c>
      <c r="E21" s="9">
        <v>4</v>
      </c>
      <c r="F21" s="9">
        <v>62</v>
      </c>
      <c r="G21" s="9">
        <v>3</v>
      </c>
      <c r="H21" s="9">
        <v>38</v>
      </c>
      <c r="I21" s="9">
        <v>0.68</v>
      </c>
      <c r="J21" s="9">
        <v>18.5</v>
      </c>
      <c r="K21" s="9">
        <v>13.6</v>
      </c>
      <c r="L21" s="9">
        <v>16.600000000000001</v>
      </c>
      <c r="M21" s="19">
        <f>AVERAGE(J21, K21, L21)</f>
        <v>16.233333333333334</v>
      </c>
    </row>
    <row r="22" spans="1:13" x14ac:dyDescent="0.3">
      <c r="A22" s="8">
        <v>13</v>
      </c>
      <c r="B22" s="8">
        <v>2</v>
      </c>
      <c r="C22" s="9">
        <v>6</v>
      </c>
      <c r="D22" s="9">
        <v>4.5</v>
      </c>
      <c r="E22" s="9">
        <v>5.5</v>
      </c>
      <c r="F22" s="9">
        <v>79</v>
      </c>
      <c r="G22" s="9">
        <v>2</v>
      </c>
      <c r="H22" s="9">
        <v>15</v>
      </c>
      <c r="I22" s="9">
        <v>0.74</v>
      </c>
      <c r="J22" s="10">
        <v>23.5</v>
      </c>
      <c r="K22" s="9">
        <v>20.5</v>
      </c>
      <c r="L22" s="9">
        <v>23.3</v>
      </c>
      <c r="M22" s="19">
        <f t="shared" ref="M22:M32" si="1">AVERAGE(J22, K22, L22)</f>
        <v>22.433333333333334</v>
      </c>
    </row>
    <row r="23" spans="1:13" x14ac:dyDescent="0.3">
      <c r="A23" s="11" t="s">
        <v>17</v>
      </c>
      <c r="B23" s="11" t="s">
        <v>17</v>
      </c>
      <c r="C23" s="11" t="s">
        <v>17</v>
      </c>
      <c r="D23" s="11" t="s">
        <v>17</v>
      </c>
      <c r="E23" s="11" t="s">
        <v>17</v>
      </c>
      <c r="F23" s="11" t="s">
        <v>17</v>
      </c>
      <c r="G23" s="11" t="s">
        <v>17</v>
      </c>
      <c r="H23" s="11" t="s">
        <v>17</v>
      </c>
      <c r="I23" s="20" t="s">
        <v>28</v>
      </c>
      <c r="J23" s="11" t="s">
        <v>17</v>
      </c>
      <c r="K23" s="11" t="s">
        <v>17</v>
      </c>
      <c r="L23" s="11" t="s">
        <v>17</v>
      </c>
      <c r="M23" s="11" t="s">
        <v>17</v>
      </c>
    </row>
    <row r="24" spans="1:13" x14ac:dyDescent="0.3">
      <c r="A24" s="8">
        <v>14</v>
      </c>
      <c r="B24" s="8">
        <v>2</v>
      </c>
      <c r="C24" s="9">
        <v>10</v>
      </c>
      <c r="D24" s="9">
        <v>5</v>
      </c>
      <c r="E24" s="9">
        <v>5.5</v>
      </c>
      <c r="F24" s="9">
        <v>75</v>
      </c>
      <c r="G24" s="9">
        <v>2</v>
      </c>
      <c r="H24" s="9">
        <v>22</v>
      </c>
      <c r="I24" s="9">
        <v>0.66</v>
      </c>
      <c r="J24" s="9">
        <v>16.600000000000001</v>
      </c>
      <c r="K24" s="9">
        <v>14.3</v>
      </c>
      <c r="L24" s="9">
        <v>28.4</v>
      </c>
      <c r="M24" s="19">
        <f t="shared" si="1"/>
        <v>19.766666666666666</v>
      </c>
    </row>
    <row r="25" spans="1:13" x14ac:dyDescent="0.3">
      <c r="A25" s="8">
        <v>15</v>
      </c>
      <c r="B25" s="8">
        <v>2</v>
      </c>
      <c r="C25" s="9">
        <v>3</v>
      </c>
      <c r="D25" s="9">
        <v>5</v>
      </c>
      <c r="E25" s="9">
        <v>5.5</v>
      </c>
      <c r="F25" s="9">
        <v>79</v>
      </c>
      <c r="G25" s="9">
        <v>2</v>
      </c>
      <c r="H25" s="9">
        <v>11</v>
      </c>
      <c r="I25" s="10">
        <v>0.77</v>
      </c>
      <c r="J25" s="9">
        <v>25.3</v>
      </c>
      <c r="K25" s="9">
        <v>18.899999999999999</v>
      </c>
      <c r="L25" s="9">
        <v>20.6</v>
      </c>
      <c r="M25" s="19">
        <f t="shared" si="1"/>
        <v>21.600000000000005</v>
      </c>
    </row>
    <row r="26" spans="1:13" x14ac:dyDescent="0.3">
      <c r="A26" s="8">
        <v>16</v>
      </c>
      <c r="B26" s="8">
        <v>2</v>
      </c>
      <c r="C26" s="9">
        <v>4</v>
      </c>
      <c r="D26" s="9">
        <v>3.5</v>
      </c>
      <c r="E26" s="9">
        <v>4</v>
      </c>
      <c r="F26" s="9">
        <v>56</v>
      </c>
      <c r="G26" s="9">
        <v>4</v>
      </c>
      <c r="H26" s="9">
        <v>62</v>
      </c>
      <c r="I26" s="9">
        <v>0.56999999999999995</v>
      </c>
      <c r="J26" s="9">
        <v>15.6</v>
      </c>
      <c r="K26" s="9">
        <v>15.3</v>
      </c>
      <c r="L26" s="9">
        <v>16.7</v>
      </c>
      <c r="M26" s="19">
        <f t="shared" si="1"/>
        <v>15.866666666666665</v>
      </c>
    </row>
    <row r="27" spans="1:13" x14ac:dyDescent="0.3">
      <c r="A27" s="8">
        <v>17</v>
      </c>
      <c r="B27" s="8">
        <v>2</v>
      </c>
      <c r="C27" s="9">
        <v>2</v>
      </c>
      <c r="D27" s="9">
        <v>4</v>
      </c>
      <c r="E27" s="9">
        <v>4.5</v>
      </c>
      <c r="F27" s="9">
        <v>78</v>
      </c>
      <c r="G27" s="9">
        <v>2</v>
      </c>
      <c r="H27" s="9">
        <v>18</v>
      </c>
      <c r="I27" s="9">
        <v>0.71</v>
      </c>
      <c r="J27" s="9">
        <v>18.5</v>
      </c>
      <c r="K27" s="9">
        <v>16.3</v>
      </c>
      <c r="L27" s="9">
        <v>25.4</v>
      </c>
      <c r="M27" s="19">
        <f t="shared" si="1"/>
        <v>20.066666666666666</v>
      </c>
    </row>
    <row r="28" spans="1:13" x14ac:dyDescent="0.3">
      <c r="A28" s="8">
        <v>18</v>
      </c>
      <c r="B28" s="8">
        <v>2</v>
      </c>
      <c r="C28" s="9">
        <v>11</v>
      </c>
      <c r="D28" s="9">
        <v>6.5</v>
      </c>
      <c r="E28" s="9">
        <v>6.5</v>
      </c>
      <c r="F28" s="9">
        <v>88</v>
      </c>
      <c r="G28" s="9">
        <v>1</v>
      </c>
      <c r="H28" s="9">
        <v>0</v>
      </c>
      <c r="I28" s="9">
        <v>0.82</v>
      </c>
      <c r="J28" s="9">
        <v>25.1</v>
      </c>
      <c r="K28" s="9">
        <v>20.399999999999999</v>
      </c>
      <c r="L28" s="9">
        <v>21.9</v>
      </c>
      <c r="M28" s="19">
        <f t="shared" si="1"/>
        <v>22.466666666666669</v>
      </c>
    </row>
    <row r="29" spans="1:13" x14ac:dyDescent="0.3">
      <c r="A29" s="8">
        <v>19</v>
      </c>
      <c r="B29" s="8">
        <v>2</v>
      </c>
      <c r="C29" s="9">
        <v>7</v>
      </c>
      <c r="D29" s="9">
        <v>5.5</v>
      </c>
      <c r="E29" s="9">
        <v>5.5</v>
      </c>
      <c r="F29" s="9">
        <v>81</v>
      </c>
      <c r="G29" s="9">
        <v>2</v>
      </c>
      <c r="H29" s="9">
        <v>15</v>
      </c>
      <c r="I29" s="9">
        <v>0.71</v>
      </c>
      <c r="J29" s="9">
        <v>21.1</v>
      </c>
      <c r="K29" s="9">
        <v>19.5</v>
      </c>
      <c r="L29" s="9">
        <v>23.1</v>
      </c>
      <c r="M29" s="19">
        <f t="shared" si="1"/>
        <v>21.233333333333334</v>
      </c>
    </row>
    <row r="30" spans="1:13" x14ac:dyDescent="0.3">
      <c r="A30" s="8">
        <v>20</v>
      </c>
      <c r="B30" s="8">
        <v>2</v>
      </c>
      <c r="C30" s="9">
        <v>9</v>
      </c>
      <c r="D30" s="10">
        <v>4</v>
      </c>
      <c r="E30" s="9">
        <v>4.5</v>
      </c>
      <c r="F30" s="9">
        <v>65</v>
      </c>
      <c r="G30" s="9">
        <v>3</v>
      </c>
      <c r="H30" s="9">
        <v>40</v>
      </c>
      <c r="I30" s="9">
        <v>0.64</v>
      </c>
      <c r="J30" s="9">
        <v>23.4</v>
      </c>
      <c r="K30" s="9">
        <v>18.7</v>
      </c>
      <c r="L30" s="9">
        <v>19.3</v>
      </c>
      <c r="M30" s="19">
        <f t="shared" si="1"/>
        <v>20.466666666666665</v>
      </c>
    </row>
    <row r="31" spans="1:13" x14ac:dyDescent="0.3">
      <c r="A31" s="8">
        <v>21</v>
      </c>
      <c r="B31" s="8">
        <v>2</v>
      </c>
      <c r="C31" s="9">
        <v>5</v>
      </c>
      <c r="D31" s="9">
        <v>5</v>
      </c>
      <c r="E31" s="9">
        <v>5.5</v>
      </c>
      <c r="F31" s="9">
        <v>76</v>
      </c>
      <c r="G31" s="9">
        <v>3</v>
      </c>
      <c r="H31" s="9">
        <v>21</v>
      </c>
      <c r="I31" s="9">
        <v>0.74</v>
      </c>
      <c r="J31" s="9">
        <v>20.3</v>
      </c>
      <c r="K31" s="9">
        <v>23.4</v>
      </c>
      <c r="L31" s="10" t="s">
        <v>54</v>
      </c>
      <c r="M31" s="19">
        <f t="shared" si="1"/>
        <v>21.85</v>
      </c>
    </row>
    <row r="32" spans="1:13" x14ac:dyDescent="0.3">
      <c r="A32" s="8">
        <v>22</v>
      </c>
      <c r="B32" s="8">
        <v>2</v>
      </c>
      <c r="C32" s="9">
        <v>8</v>
      </c>
      <c r="D32" s="9">
        <v>3.5</v>
      </c>
      <c r="E32" s="9">
        <v>4</v>
      </c>
      <c r="F32" s="9">
        <v>53</v>
      </c>
      <c r="G32" s="9">
        <v>4</v>
      </c>
      <c r="H32" s="9">
        <v>57</v>
      </c>
      <c r="I32" s="9">
        <v>0.5</v>
      </c>
      <c r="J32" s="9">
        <v>17.399999999999999</v>
      </c>
      <c r="K32" s="9">
        <v>14.3</v>
      </c>
      <c r="L32" s="9">
        <v>13.7</v>
      </c>
      <c r="M32" s="19">
        <f t="shared" si="1"/>
        <v>15.133333333333333</v>
      </c>
    </row>
    <row r="33" spans="1:13" x14ac:dyDescent="0.3">
      <c r="A33" s="5">
        <v>23</v>
      </c>
      <c r="B33" s="6">
        <v>3</v>
      </c>
      <c r="C33" s="6">
        <v>4</v>
      </c>
      <c r="D33" s="6">
        <v>4.4000000000000004</v>
      </c>
      <c r="E33" s="6">
        <v>5</v>
      </c>
      <c r="F33" s="6">
        <v>81</v>
      </c>
      <c r="G33" s="6">
        <v>2</v>
      </c>
      <c r="H33" s="6">
        <v>19</v>
      </c>
      <c r="I33" s="7">
        <v>0.64</v>
      </c>
      <c r="J33" s="6">
        <v>18.5</v>
      </c>
      <c r="K33" s="6">
        <v>21.8</v>
      </c>
      <c r="L33" s="6">
        <v>28.2</v>
      </c>
      <c r="M33" s="17">
        <f>AVERAGE(J33, K33, L33)</f>
        <v>22.833333333333332</v>
      </c>
    </row>
    <row r="34" spans="1:13" x14ac:dyDescent="0.3">
      <c r="A34" s="5">
        <v>24</v>
      </c>
      <c r="B34" s="6">
        <v>3</v>
      </c>
      <c r="C34" s="6">
        <v>1</v>
      </c>
      <c r="D34" s="6">
        <v>4</v>
      </c>
      <c r="E34" s="6">
        <v>4.5</v>
      </c>
      <c r="F34" s="6">
        <v>66</v>
      </c>
      <c r="G34" s="6">
        <v>3</v>
      </c>
      <c r="H34" s="6">
        <v>42</v>
      </c>
      <c r="I34" s="7">
        <v>0.64</v>
      </c>
      <c r="J34" s="6">
        <v>16.5</v>
      </c>
      <c r="K34" s="6">
        <v>15.2</v>
      </c>
      <c r="L34" s="6">
        <v>17.5</v>
      </c>
      <c r="M34" s="17">
        <f t="shared" ref="M34:M39" si="2">AVERAGE(J34, K34, L34)</f>
        <v>16.400000000000002</v>
      </c>
    </row>
    <row r="35" spans="1:13" x14ac:dyDescent="0.3">
      <c r="A35" s="5">
        <v>25</v>
      </c>
      <c r="B35" s="6">
        <v>3</v>
      </c>
      <c r="C35" s="6">
        <v>9</v>
      </c>
      <c r="D35" s="6">
        <v>5.5</v>
      </c>
      <c r="E35" s="6">
        <v>6</v>
      </c>
      <c r="F35" s="6">
        <v>76</v>
      </c>
      <c r="G35" s="6">
        <v>2</v>
      </c>
      <c r="H35" s="6">
        <v>16</v>
      </c>
      <c r="I35" s="6">
        <v>0.66</v>
      </c>
      <c r="J35" s="6">
        <v>20.399999999999999</v>
      </c>
      <c r="K35" s="6">
        <v>18.399999999999999</v>
      </c>
      <c r="L35" s="6">
        <v>20.399999999999999</v>
      </c>
      <c r="M35" s="17">
        <f t="shared" si="2"/>
        <v>19.733333333333331</v>
      </c>
    </row>
    <row r="36" spans="1:13" x14ac:dyDescent="0.3">
      <c r="A36" s="5">
        <v>26</v>
      </c>
      <c r="B36" s="6">
        <v>3</v>
      </c>
      <c r="C36" s="6">
        <v>2</v>
      </c>
      <c r="D36" s="6">
        <v>4</v>
      </c>
      <c r="E36" s="6">
        <v>5</v>
      </c>
      <c r="F36" s="6">
        <v>69</v>
      </c>
      <c r="G36" s="6">
        <v>3</v>
      </c>
      <c r="H36" s="6">
        <v>45</v>
      </c>
      <c r="I36" s="6">
        <v>0.61</v>
      </c>
      <c r="J36" s="6">
        <v>18.7</v>
      </c>
      <c r="K36" s="6">
        <v>15.3</v>
      </c>
      <c r="L36" s="6">
        <v>14.6</v>
      </c>
      <c r="M36" s="17">
        <f t="shared" si="2"/>
        <v>16.2</v>
      </c>
    </row>
    <row r="37" spans="1:13" x14ac:dyDescent="0.3">
      <c r="A37" s="5">
        <v>27</v>
      </c>
      <c r="B37" s="6">
        <v>3</v>
      </c>
      <c r="C37" s="6">
        <v>6</v>
      </c>
      <c r="D37" s="6">
        <v>4.5</v>
      </c>
      <c r="E37" s="6">
        <v>4.5</v>
      </c>
      <c r="F37" s="6">
        <v>73</v>
      </c>
      <c r="G37" s="6">
        <v>3</v>
      </c>
      <c r="H37" s="6">
        <v>28</v>
      </c>
      <c r="I37" s="6">
        <v>0.67</v>
      </c>
      <c r="J37" s="6">
        <v>14.5</v>
      </c>
      <c r="K37" s="6">
        <v>15.3</v>
      </c>
      <c r="L37" s="6">
        <v>15.9</v>
      </c>
      <c r="M37" s="17">
        <f t="shared" si="2"/>
        <v>15.233333333333334</v>
      </c>
    </row>
    <row r="38" spans="1:13" x14ac:dyDescent="0.3">
      <c r="A38" s="5">
        <v>28</v>
      </c>
      <c r="B38" s="6">
        <v>3</v>
      </c>
      <c r="C38" s="6">
        <v>11</v>
      </c>
      <c r="D38" s="6">
        <v>6</v>
      </c>
      <c r="E38" s="6">
        <v>6</v>
      </c>
      <c r="F38" s="6">
        <v>85</v>
      </c>
      <c r="G38" s="6">
        <v>2</v>
      </c>
      <c r="H38" s="6">
        <v>14</v>
      </c>
      <c r="I38" s="6">
        <v>0.77</v>
      </c>
      <c r="J38" s="6">
        <v>26.3</v>
      </c>
      <c r="K38" s="6">
        <v>22.8</v>
      </c>
      <c r="L38" s="6">
        <v>24.3</v>
      </c>
      <c r="M38" s="17">
        <f t="shared" si="2"/>
        <v>24.466666666666669</v>
      </c>
    </row>
    <row r="39" spans="1:13" x14ac:dyDescent="0.3">
      <c r="A39" s="5">
        <v>29</v>
      </c>
      <c r="B39" s="6">
        <v>3</v>
      </c>
      <c r="C39" s="6">
        <v>5</v>
      </c>
      <c r="D39" s="6">
        <v>6</v>
      </c>
      <c r="E39" s="6">
        <v>6.5</v>
      </c>
      <c r="F39" s="6">
        <v>81</v>
      </c>
      <c r="G39" s="6">
        <v>2</v>
      </c>
      <c r="H39" s="6">
        <v>11</v>
      </c>
      <c r="I39" s="7">
        <v>0.77</v>
      </c>
      <c r="J39" s="6">
        <v>29.4</v>
      </c>
      <c r="K39" s="6">
        <v>25.3</v>
      </c>
      <c r="L39" s="6">
        <v>24.7</v>
      </c>
      <c r="M39" s="17">
        <f t="shared" si="2"/>
        <v>26.466666666666669</v>
      </c>
    </row>
    <row r="40" spans="1:13" x14ac:dyDescent="0.3">
      <c r="A40" s="11" t="s">
        <v>17</v>
      </c>
      <c r="B40" s="11" t="s">
        <v>17</v>
      </c>
      <c r="C40" s="11" t="s">
        <v>17</v>
      </c>
      <c r="D40" s="11" t="s">
        <v>17</v>
      </c>
      <c r="E40" s="11" t="s">
        <v>17</v>
      </c>
      <c r="F40" s="11" t="s">
        <v>17</v>
      </c>
      <c r="G40" s="11" t="s">
        <v>17</v>
      </c>
      <c r="H40" s="11" t="s">
        <v>17</v>
      </c>
      <c r="I40" s="20" t="s">
        <v>28</v>
      </c>
      <c r="J40" s="11" t="s">
        <v>17</v>
      </c>
      <c r="K40" s="11" t="s">
        <v>17</v>
      </c>
      <c r="L40" s="11" t="s">
        <v>17</v>
      </c>
      <c r="M40" s="11" t="s">
        <v>17</v>
      </c>
    </row>
    <row r="41" spans="1:13" x14ac:dyDescent="0.3">
      <c r="A41" s="5">
        <v>30</v>
      </c>
      <c r="B41" s="6">
        <v>3</v>
      </c>
      <c r="C41" s="6">
        <v>8</v>
      </c>
      <c r="D41" s="6">
        <v>5</v>
      </c>
      <c r="E41" s="6">
        <v>5.5</v>
      </c>
      <c r="F41" s="6">
        <v>78</v>
      </c>
      <c r="G41" s="6">
        <v>2</v>
      </c>
      <c r="H41" s="6">
        <v>20</v>
      </c>
      <c r="I41" s="6">
        <v>0.68</v>
      </c>
      <c r="J41" s="6">
        <v>21.3</v>
      </c>
      <c r="K41" s="6">
        <v>18.5</v>
      </c>
      <c r="L41" s="6">
        <v>17.3</v>
      </c>
      <c r="M41" s="17">
        <f>AVERAGE(J41, K41, L41)</f>
        <v>19.033333333333331</v>
      </c>
    </row>
    <row r="42" spans="1:13" x14ac:dyDescent="0.3">
      <c r="A42" s="5">
        <v>31</v>
      </c>
      <c r="B42" s="6">
        <v>3</v>
      </c>
      <c r="C42" s="6">
        <v>3</v>
      </c>
      <c r="D42" s="6">
        <v>5.5</v>
      </c>
      <c r="E42" s="6">
        <v>5.5</v>
      </c>
      <c r="F42" s="6">
        <v>81</v>
      </c>
      <c r="G42" s="6">
        <v>2</v>
      </c>
      <c r="H42" s="6">
        <v>11</v>
      </c>
      <c r="I42" s="6">
        <v>0.73</v>
      </c>
      <c r="J42" s="6">
        <v>20.5</v>
      </c>
      <c r="K42" s="6">
        <v>22.4</v>
      </c>
      <c r="L42" s="7">
        <v>18</v>
      </c>
      <c r="M42" s="17">
        <f t="shared" ref="M42:M49" si="3">AVERAGE(J42, K42, L42)</f>
        <v>20.3</v>
      </c>
    </row>
    <row r="43" spans="1:13" x14ac:dyDescent="0.3">
      <c r="A43" s="5">
        <v>32</v>
      </c>
      <c r="B43" s="6">
        <v>3</v>
      </c>
      <c r="C43" s="6">
        <v>7</v>
      </c>
      <c r="D43" s="6">
        <v>5.5</v>
      </c>
      <c r="E43" s="6">
        <v>5.5</v>
      </c>
      <c r="F43" s="6">
        <v>82</v>
      </c>
      <c r="G43" s="6">
        <v>2</v>
      </c>
      <c r="H43" s="6">
        <v>9</v>
      </c>
      <c r="I43" s="6">
        <v>0.78</v>
      </c>
      <c r="J43" s="6">
        <v>25.6</v>
      </c>
      <c r="K43" s="6">
        <v>19.600000000000001</v>
      </c>
      <c r="L43" s="6">
        <v>22.7</v>
      </c>
      <c r="M43" s="17">
        <f t="shared" si="3"/>
        <v>22.633333333333336</v>
      </c>
    </row>
    <row r="44" spans="1:13" x14ac:dyDescent="0.3">
      <c r="A44" s="5">
        <v>33</v>
      </c>
      <c r="B44" s="6">
        <v>3</v>
      </c>
      <c r="C44" s="6">
        <v>10</v>
      </c>
      <c r="D44" s="6">
        <v>6</v>
      </c>
      <c r="E44" s="6">
        <v>6.5</v>
      </c>
      <c r="F44" s="6">
        <v>87</v>
      </c>
      <c r="G44" s="6">
        <v>2</v>
      </c>
      <c r="H44" s="6">
        <v>7</v>
      </c>
      <c r="I44" s="6">
        <v>0.85</v>
      </c>
      <c r="J44" s="6">
        <v>21.3</v>
      </c>
      <c r="K44" s="6">
        <v>17.8</v>
      </c>
      <c r="L44" s="6">
        <v>17.100000000000001</v>
      </c>
      <c r="M44" s="17">
        <f t="shared" si="3"/>
        <v>18.733333333333334</v>
      </c>
    </row>
    <row r="45" spans="1:13" x14ac:dyDescent="0.3">
      <c r="A45" s="8">
        <v>34</v>
      </c>
      <c r="B45" s="9">
        <v>4</v>
      </c>
      <c r="C45" s="9">
        <v>7</v>
      </c>
      <c r="D45" s="10">
        <v>6</v>
      </c>
      <c r="E45" s="9">
        <v>6</v>
      </c>
      <c r="F45" s="9">
        <v>82</v>
      </c>
      <c r="G45" s="9">
        <v>2</v>
      </c>
      <c r="H45" s="9">
        <v>6</v>
      </c>
      <c r="I45" s="10">
        <v>0.73</v>
      </c>
      <c r="J45" s="9">
        <v>25.6</v>
      </c>
      <c r="K45" s="9">
        <v>17.8</v>
      </c>
      <c r="L45" s="9">
        <v>23.8</v>
      </c>
      <c r="M45" s="19">
        <f t="shared" si="3"/>
        <v>22.400000000000002</v>
      </c>
    </row>
    <row r="46" spans="1:13" x14ac:dyDescent="0.3">
      <c r="A46" s="8">
        <v>35</v>
      </c>
      <c r="B46" s="9">
        <v>4</v>
      </c>
      <c r="C46" s="9">
        <v>8</v>
      </c>
      <c r="D46" s="9">
        <v>5.5</v>
      </c>
      <c r="E46" s="9">
        <v>6</v>
      </c>
      <c r="F46" s="9">
        <v>78</v>
      </c>
      <c r="G46" s="9">
        <v>2</v>
      </c>
      <c r="H46" s="9">
        <v>24</v>
      </c>
      <c r="I46" s="9">
        <v>0.67</v>
      </c>
      <c r="J46" s="9">
        <v>16.399999999999999</v>
      </c>
      <c r="K46" s="9">
        <v>15.3</v>
      </c>
      <c r="L46" s="9">
        <v>21.8</v>
      </c>
      <c r="M46" s="19">
        <f t="shared" si="3"/>
        <v>17.833333333333332</v>
      </c>
    </row>
    <row r="47" spans="1:13" x14ac:dyDescent="0.3">
      <c r="A47" s="8">
        <v>36</v>
      </c>
      <c r="B47" s="9">
        <v>4</v>
      </c>
      <c r="C47" s="9">
        <v>11</v>
      </c>
      <c r="D47" s="9">
        <v>6.5</v>
      </c>
      <c r="E47" s="9">
        <v>6.5</v>
      </c>
      <c r="F47" s="9">
        <v>85</v>
      </c>
      <c r="G47" s="9">
        <v>1</v>
      </c>
      <c r="H47" s="9">
        <v>0</v>
      </c>
      <c r="I47" s="9">
        <v>0.78</v>
      </c>
      <c r="J47" s="9">
        <v>29.4</v>
      </c>
      <c r="K47" s="9">
        <v>27.4</v>
      </c>
      <c r="L47" s="9">
        <v>24.3</v>
      </c>
      <c r="M47" s="19">
        <f t="shared" si="3"/>
        <v>27.033333333333331</v>
      </c>
    </row>
    <row r="48" spans="1:13" x14ac:dyDescent="0.3">
      <c r="A48" s="8">
        <v>37</v>
      </c>
      <c r="B48" s="9">
        <v>4</v>
      </c>
      <c r="C48" s="9">
        <v>5</v>
      </c>
      <c r="D48" s="9">
        <v>5.5</v>
      </c>
      <c r="E48" s="9">
        <v>5.5</v>
      </c>
      <c r="F48" s="9">
        <v>84</v>
      </c>
      <c r="G48" s="9">
        <v>2</v>
      </c>
      <c r="H48" s="9">
        <v>13</v>
      </c>
      <c r="I48" s="9">
        <v>0.68</v>
      </c>
      <c r="J48" s="9">
        <v>22.1</v>
      </c>
      <c r="K48" s="9">
        <v>19.600000000000001</v>
      </c>
      <c r="L48" s="9">
        <v>15.9</v>
      </c>
      <c r="M48" s="19">
        <f t="shared" si="3"/>
        <v>19.2</v>
      </c>
    </row>
    <row r="49" spans="1:13" x14ac:dyDescent="0.3">
      <c r="A49" s="8">
        <v>38</v>
      </c>
      <c r="B49" s="9">
        <v>4</v>
      </c>
      <c r="C49" s="9">
        <v>9</v>
      </c>
      <c r="D49" s="9">
        <v>5</v>
      </c>
      <c r="E49" s="9">
        <v>5.5</v>
      </c>
      <c r="F49" s="9">
        <v>71</v>
      </c>
      <c r="G49" s="9">
        <v>3</v>
      </c>
      <c r="H49" s="9">
        <v>34</v>
      </c>
      <c r="I49" s="9">
        <v>0.7</v>
      </c>
      <c r="J49" s="9">
        <v>24.5</v>
      </c>
      <c r="K49" s="9">
        <v>20.9</v>
      </c>
      <c r="L49" s="9">
        <v>20.2</v>
      </c>
      <c r="M49" s="19">
        <f t="shared" si="3"/>
        <v>21.866666666666664</v>
      </c>
    </row>
    <row r="50" spans="1:13" x14ac:dyDescent="0.3">
      <c r="A50" s="11" t="s">
        <v>17</v>
      </c>
      <c r="B50" s="11" t="s">
        <v>17</v>
      </c>
      <c r="C50" s="11" t="s">
        <v>17</v>
      </c>
      <c r="D50" s="11" t="s">
        <v>17</v>
      </c>
      <c r="E50" s="11" t="s">
        <v>17</v>
      </c>
      <c r="F50" s="11" t="s">
        <v>17</v>
      </c>
      <c r="G50" s="11" t="s">
        <v>17</v>
      </c>
      <c r="H50" s="11" t="s">
        <v>17</v>
      </c>
      <c r="I50" s="11" t="s">
        <v>17</v>
      </c>
      <c r="J50" s="11" t="s">
        <v>17</v>
      </c>
      <c r="K50" s="11" t="s">
        <v>17</v>
      </c>
      <c r="L50" s="11" t="s">
        <v>17</v>
      </c>
      <c r="M50" s="11" t="s">
        <v>17</v>
      </c>
    </row>
    <row r="51" spans="1:13" x14ac:dyDescent="0.3">
      <c r="A51" s="8">
        <v>39</v>
      </c>
      <c r="B51" s="9">
        <v>4</v>
      </c>
      <c r="C51" s="9">
        <v>6</v>
      </c>
      <c r="D51" s="9">
        <v>4.5</v>
      </c>
      <c r="E51" s="9">
        <v>5.5</v>
      </c>
      <c r="F51" s="9">
        <v>76</v>
      </c>
      <c r="G51" s="9">
        <v>2</v>
      </c>
      <c r="H51" s="9">
        <v>16</v>
      </c>
      <c r="I51" s="9">
        <v>0.64</v>
      </c>
      <c r="J51" s="9">
        <v>16.2</v>
      </c>
      <c r="K51" s="9">
        <v>13.4</v>
      </c>
      <c r="L51" s="9">
        <v>17.7</v>
      </c>
      <c r="M51" s="19">
        <f t="shared" ref="M51:M56" si="4">AVERAGE(J51, K51, L51)</f>
        <v>15.766666666666666</v>
      </c>
    </row>
    <row r="52" spans="1:13" x14ac:dyDescent="0.3">
      <c r="A52" s="8">
        <v>40</v>
      </c>
      <c r="B52" s="9">
        <v>4</v>
      </c>
      <c r="C52" s="9">
        <v>2</v>
      </c>
      <c r="D52" s="9">
        <v>5.5</v>
      </c>
      <c r="E52" s="10">
        <v>6</v>
      </c>
      <c r="F52" s="9">
        <v>78</v>
      </c>
      <c r="G52" s="9">
        <v>2</v>
      </c>
      <c r="H52" s="9">
        <v>5</v>
      </c>
      <c r="I52" s="9">
        <v>0.73</v>
      </c>
      <c r="J52" s="10">
        <v>20.2</v>
      </c>
      <c r="K52" s="10">
        <v>17.8</v>
      </c>
      <c r="L52" s="9">
        <v>22.2</v>
      </c>
      <c r="M52" s="19">
        <f t="shared" si="4"/>
        <v>20.066666666666666</v>
      </c>
    </row>
    <row r="53" spans="1:13" x14ac:dyDescent="0.3">
      <c r="A53" s="8">
        <v>41</v>
      </c>
      <c r="B53" s="9">
        <v>4</v>
      </c>
      <c r="C53" s="9">
        <v>10</v>
      </c>
      <c r="D53" s="9">
        <v>6</v>
      </c>
      <c r="E53" s="9">
        <v>6</v>
      </c>
      <c r="F53" s="9">
        <v>84</v>
      </c>
      <c r="G53" s="9">
        <v>1</v>
      </c>
      <c r="H53" s="9">
        <v>0</v>
      </c>
      <c r="I53" s="9">
        <v>0.73</v>
      </c>
      <c r="J53" s="9">
        <v>18.2</v>
      </c>
      <c r="K53" s="9">
        <v>19.600000000000001</v>
      </c>
      <c r="L53" s="9">
        <v>15.9</v>
      </c>
      <c r="M53" s="19">
        <f t="shared" si="4"/>
        <v>17.899999999999999</v>
      </c>
    </row>
    <row r="54" spans="1:13" x14ac:dyDescent="0.3">
      <c r="A54" s="8">
        <v>42</v>
      </c>
      <c r="B54" s="9">
        <v>4</v>
      </c>
      <c r="C54" s="9">
        <v>1</v>
      </c>
      <c r="D54" s="9">
        <v>2.5</v>
      </c>
      <c r="E54" s="9">
        <v>3</v>
      </c>
      <c r="F54" s="9">
        <v>32</v>
      </c>
      <c r="G54" s="9">
        <v>4</v>
      </c>
      <c r="H54" s="9">
        <v>68</v>
      </c>
      <c r="I54" s="9">
        <v>0.52</v>
      </c>
      <c r="J54" s="9">
        <v>19.600000000000001</v>
      </c>
      <c r="K54" s="9">
        <v>14.5</v>
      </c>
      <c r="L54" s="9">
        <v>13.7</v>
      </c>
      <c r="M54" s="19">
        <f t="shared" si="4"/>
        <v>15.933333333333332</v>
      </c>
    </row>
    <row r="55" spans="1:13" x14ac:dyDescent="0.3">
      <c r="A55" s="8">
        <v>43</v>
      </c>
      <c r="B55" s="9">
        <v>4</v>
      </c>
      <c r="C55" s="9">
        <v>4</v>
      </c>
      <c r="D55" s="9">
        <v>5.5</v>
      </c>
      <c r="E55" s="9">
        <v>6</v>
      </c>
      <c r="F55" s="9">
        <v>73</v>
      </c>
      <c r="G55" s="9">
        <v>2</v>
      </c>
      <c r="H55" s="9">
        <v>5</v>
      </c>
      <c r="I55" s="9">
        <v>0.71</v>
      </c>
      <c r="J55" s="9">
        <v>17.8</v>
      </c>
      <c r="K55" s="9">
        <v>16.3</v>
      </c>
      <c r="L55" s="9">
        <v>16.100000000000001</v>
      </c>
      <c r="M55" s="19">
        <f t="shared" si="4"/>
        <v>16.733333333333334</v>
      </c>
    </row>
    <row r="56" spans="1:13" x14ac:dyDescent="0.3">
      <c r="A56" s="8">
        <v>44</v>
      </c>
      <c r="B56" s="9">
        <v>4</v>
      </c>
      <c r="C56" s="9">
        <v>3</v>
      </c>
      <c r="D56" s="9">
        <v>7</v>
      </c>
      <c r="E56" s="9">
        <v>7</v>
      </c>
      <c r="F56" s="9">
        <v>88</v>
      </c>
      <c r="G56" s="9">
        <v>2</v>
      </c>
      <c r="H56" s="9">
        <v>5</v>
      </c>
      <c r="I56" s="9">
        <v>0.73</v>
      </c>
      <c r="J56" s="9">
        <v>26.3</v>
      </c>
      <c r="K56" s="9">
        <v>24.6</v>
      </c>
      <c r="L56" s="9">
        <v>25.2</v>
      </c>
      <c r="M56" s="19">
        <f t="shared" si="4"/>
        <v>25.366666666666671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C11E-2306-471C-90F4-E5CAE82E94C9}">
  <dimension ref="A1:M56"/>
  <sheetViews>
    <sheetView zoomScale="80" zoomScaleNormal="80" workbookViewId="0">
      <selection activeCell="T17" sqref="T17"/>
    </sheetView>
  </sheetViews>
  <sheetFormatPr defaultRowHeight="14.4" x14ac:dyDescent="0.3"/>
  <sheetData>
    <row r="1" spans="1:13" x14ac:dyDescent="0.3">
      <c r="A1" t="s">
        <v>7</v>
      </c>
      <c r="C1" t="s">
        <v>8</v>
      </c>
    </row>
    <row r="2" spans="1:13" x14ac:dyDescent="0.3">
      <c r="A2" s="1" t="s">
        <v>13</v>
      </c>
      <c r="B2" t="s">
        <v>55</v>
      </c>
    </row>
    <row r="3" spans="1:13" x14ac:dyDescent="0.3">
      <c r="A3" s="1" t="s">
        <v>12</v>
      </c>
      <c r="B3" t="s">
        <v>24</v>
      </c>
    </row>
    <row r="4" spans="1:13" x14ac:dyDescent="0.3">
      <c r="A4" s="1" t="s">
        <v>11</v>
      </c>
      <c r="B4" t="s">
        <v>25</v>
      </c>
    </row>
    <row r="5" spans="1:13" x14ac:dyDescent="0.3">
      <c r="A5" t="s">
        <v>6</v>
      </c>
    </row>
    <row r="6" spans="1:13" ht="15" thickBot="1" x14ac:dyDescent="0.35">
      <c r="A6" s="1" t="s">
        <v>0</v>
      </c>
    </row>
    <row r="7" spans="1:13" ht="15" thickBot="1" x14ac:dyDescent="0.35">
      <c r="A7" s="1"/>
      <c r="J7" s="12"/>
      <c r="K7" s="13" t="s">
        <v>9</v>
      </c>
      <c r="L7" s="14"/>
      <c r="M7" s="15"/>
    </row>
    <row r="8" spans="1:13" ht="15" thickBot="1" x14ac:dyDescent="0.35">
      <c r="A8" s="2" t="s">
        <v>1</v>
      </c>
      <c r="B8" s="3" t="s">
        <v>2</v>
      </c>
      <c r="C8" s="4" t="s">
        <v>3</v>
      </c>
      <c r="D8" s="2" t="s">
        <v>4</v>
      </c>
      <c r="E8" s="3" t="s">
        <v>5</v>
      </c>
      <c r="F8" s="3" t="s">
        <v>16</v>
      </c>
      <c r="G8" s="3" t="s">
        <v>14</v>
      </c>
      <c r="H8" s="3" t="s">
        <v>15</v>
      </c>
      <c r="I8" s="3" t="s">
        <v>10</v>
      </c>
      <c r="J8" s="16" t="s">
        <v>18</v>
      </c>
      <c r="K8" s="16" t="s">
        <v>19</v>
      </c>
      <c r="L8" s="16" t="s">
        <v>20</v>
      </c>
      <c r="M8" s="16" t="s">
        <v>21</v>
      </c>
    </row>
    <row r="9" spans="1:13" x14ac:dyDescent="0.3">
      <c r="A9" s="5">
        <v>1</v>
      </c>
      <c r="B9" s="5">
        <v>1</v>
      </c>
      <c r="C9" s="5">
        <v>8</v>
      </c>
      <c r="D9" s="6">
        <v>4</v>
      </c>
      <c r="E9" s="6">
        <v>5</v>
      </c>
      <c r="F9" s="6">
        <v>68</v>
      </c>
      <c r="G9" s="6">
        <v>3</v>
      </c>
      <c r="H9" s="6">
        <v>33</v>
      </c>
      <c r="I9" s="6">
        <v>0.52</v>
      </c>
      <c r="J9" s="6">
        <v>12</v>
      </c>
      <c r="K9" s="6">
        <v>11.1</v>
      </c>
      <c r="L9" s="6">
        <v>10.9</v>
      </c>
      <c r="M9" s="17">
        <f>AVERAGE(J9, K9, L9)</f>
        <v>11.333333333333334</v>
      </c>
    </row>
    <row r="10" spans="1:13" x14ac:dyDescent="0.3">
      <c r="A10" s="5">
        <v>2</v>
      </c>
      <c r="B10" s="5">
        <v>1</v>
      </c>
      <c r="C10" s="6">
        <v>9</v>
      </c>
      <c r="D10" s="6">
        <v>5.5</v>
      </c>
      <c r="E10" s="6">
        <v>6</v>
      </c>
      <c r="F10" s="6">
        <v>79</v>
      </c>
      <c r="G10" s="6">
        <v>2</v>
      </c>
      <c r="H10" s="6">
        <v>15</v>
      </c>
      <c r="I10" s="6">
        <v>0.66</v>
      </c>
      <c r="J10" s="6">
        <v>13.2</v>
      </c>
      <c r="K10" s="6">
        <v>14.5</v>
      </c>
      <c r="L10" s="7">
        <v>16.8</v>
      </c>
      <c r="M10" s="17">
        <f t="shared" ref="M10:M20" si="0">AVERAGE(J10, K10, L10)</f>
        <v>14.833333333333334</v>
      </c>
    </row>
    <row r="11" spans="1:13" x14ac:dyDescent="0.3">
      <c r="A11" s="5">
        <v>3</v>
      </c>
      <c r="B11" s="5">
        <v>1</v>
      </c>
      <c r="C11" s="6">
        <v>7</v>
      </c>
      <c r="D11" s="6">
        <v>5.5</v>
      </c>
      <c r="E11" s="6">
        <v>6</v>
      </c>
      <c r="F11" s="6">
        <v>81</v>
      </c>
      <c r="G11" s="6">
        <v>2</v>
      </c>
      <c r="H11" s="6">
        <v>7</v>
      </c>
      <c r="I11" s="6">
        <v>0.68</v>
      </c>
      <c r="J11" s="6">
        <v>16.2</v>
      </c>
      <c r="K11" s="6">
        <v>13.5</v>
      </c>
      <c r="L11" s="6">
        <v>15.6</v>
      </c>
      <c r="M11" s="17">
        <f t="shared" si="0"/>
        <v>15.1</v>
      </c>
    </row>
    <row r="12" spans="1:13" x14ac:dyDescent="0.3">
      <c r="A12" s="5">
        <v>4</v>
      </c>
      <c r="B12" s="5">
        <v>1</v>
      </c>
      <c r="C12" s="6">
        <v>3</v>
      </c>
      <c r="D12" s="6">
        <v>5</v>
      </c>
      <c r="E12" s="6">
        <v>5.5</v>
      </c>
      <c r="F12" s="6">
        <v>82</v>
      </c>
      <c r="G12" s="6">
        <v>2</v>
      </c>
      <c r="H12" s="6">
        <v>11</v>
      </c>
      <c r="I12" s="6">
        <v>0.62</v>
      </c>
      <c r="J12" s="6">
        <v>16.2</v>
      </c>
      <c r="K12" s="6">
        <v>13.4</v>
      </c>
      <c r="L12" s="6">
        <v>17.399999999999999</v>
      </c>
      <c r="M12" s="17">
        <f t="shared" si="0"/>
        <v>15.666666666666666</v>
      </c>
    </row>
    <row r="13" spans="1:13" x14ac:dyDescent="0.3">
      <c r="A13" s="11" t="s">
        <v>17</v>
      </c>
      <c r="B13" s="11" t="s">
        <v>17</v>
      </c>
      <c r="C13" s="11" t="s">
        <v>17</v>
      </c>
      <c r="D13" s="11" t="s">
        <v>17</v>
      </c>
      <c r="E13" s="11" t="s">
        <v>17</v>
      </c>
      <c r="F13" s="20" t="s">
        <v>17</v>
      </c>
      <c r="G13" s="11" t="s">
        <v>17</v>
      </c>
      <c r="H13" s="11" t="s">
        <v>17</v>
      </c>
      <c r="I13" s="20" t="s">
        <v>28</v>
      </c>
      <c r="J13" s="11"/>
      <c r="K13" s="11"/>
      <c r="L13" s="11"/>
      <c r="M13" s="11" t="s">
        <v>17</v>
      </c>
    </row>
    <row r="14" spans="1:13" x14ac:dyDescent="0.3">
      <c r="A14" s="5">
        <v>5</v>
      </c>
      <c r="B14" s="5">
        <v>1</v>
      </c>
      <c r="C14" s="6">
        <v>2</v>
      </c>
      <c r="D14" s="6">
        <v>5.5</v>
      </c>
      <c r="E14" s="6">
        <v>5.5</v>
      </c>
      <c r="F14" s="6">
        <v>78</v>
      </c>
      <c r="G14" s="6">
        <v>2</v>
      </c>
      <c r="H14" s="6">
        <v>14</v>
      </c>
      <c r="I14" s="6">
        <v>0.57999999999999996</v>
      </c>
      <c r="J14" s="6">
        <v>22.1</v>
      </c>
      <c r="K14" s="6">
        <v>14.5</v>
      </c>
      <c r="L14" s="7">
        <v>11.4</v>
      </c>
      <c r="M14" s="17">
        <f t="shared" si="0"/>
        <v>16</v>
      </c>
    </row>
    <row r="15" spans="1:13" x14ac:dyDescent="0.3">
      <c r="A15" s="5">
        <v>6</v>
      </c>
      <c r="B15" s="5">
        <v>1</v>
      </c>
      <c r="C15" s="6">
        <v>10</v>
      </c>
      <c r="D15" s="6">
        <v>4.5</v>
      </c>
      <c r="E15" s="6">
        <v>5</v>
      </c>
      <c r="F15" s="6">
        <v>72</v>
      </c>
      <c r="G15" s="6">
        <v>3</v>
      </c>
      <c r="H15" s="6">
        <v>24</v>
      </c>
      <c r="I15" s="6">
        <v>0.66</v>
      </c>
      <c r="J15" s="6">
        <v>14.2</v>
      </c>
      <c r="K15" s="6">
        <v>13.4</v>
      </c>
      <c r="L15" s="6">
        <v>13.4</v>
      </c>
      <c r="M15" s="17">
        <f t="shared" si="0"/>
        <v>13.666666666666666</v>
      </c>
    </row>
    <row r="16" spans="1:13" x14ac:dyDescent="0.3">
      <c r="A16" s="5">
        <v>7</v>
      </c>
      <c r="B16" s="5">
        <v>1</v>
      </c>
      <c r="C16" s="6">
        <v>4</v>
      </c>
      <c r="D16" s="6">
        <v>3</v>
      </c>
      <c r="E16" s="6">
        <v>4.5</v>
      </c>
      <c r="F16" s="6">
        <v>68</v>
      </c>
      <c r="G16" s="6">
        <v>3</v>
      </c>
      <c r="H16" s="6">
        <v>38</v>
      </c>
      <c r="I16" s="6">
        <v>0.6</v>
      </c>
      <c r="J16" s="7">
        <v>14.1</v>
      </c>
      <c r="K16" s="6">
        <v>13.5</v>
      </c>
      <c r="L16" s="6">
        <v>10.6</v>
      </c>
      <c r="M16" s="17">
        <f t="shared" si="0"/>
        <v>12.733333333333334</v>
      </c>
    </row>
    <row r="17" spans="1:13" x14ac:dyDescent="0.3">
      <c r="A17" s="5">
        <v>8</v>
      </c>
      <c r="B17" s="5">
        <v>1</v>
      </c>
      <c r="C17" s="6">
        <v>5</v>
      </c>
      <c r="D17" s="6">
        <v>7</v>
      </c>
      <c r="E17" s="6">
        <v>7</v>
      </c>
      <c r="F17" s="6">
        <v>86</v>
      </c>
      <c r="G17" s="6">
        <v>1</v>
      </c>
      <c r="H17" s="6"/>
      <c r="I17" s="6">
        <v>0.78</v>
      </c>
      <c r="J17" s="6">
        <v>15.1</v>
      </c>
      <c r="K17" s="6">
        <v>14.7</v>
      </c>
      <c r="L17" s="6">
        <v>13.7</v>
      </c>
      <c r="M17" s="17">
        <f t="shared" si="0"/>
        <v>14.5</v>
      </c>
    </row>
    <row r="18" spans="1:13" x14ac:dyDescent="0.3">
      <c r="A18" s="5">
        <v>9</v>
      </c>
      <c r="B18" s="5">
        <v>1</v>
      </c>
      <c r="C18" s="6">
        <v>11</v>
      </c>
      <c r="D18" s="6">
        <v>6</v>
      </c>
      <c r="E18" s="6">
        <v>6</v>
      </c>
      <c r="F18" s="6">
        <v>84</v>
      </c>
      <c r="G18" s="6">
        <v>2</v>
      </c>
      <c r="H18" s="6">
        <v>12</v>
      </c>
      <c r="I18" s="6">
        <v>0.65</v>
      </c>
      <c r="J18" s="6">
        <v>11.2</v>
      </c>
      <c r="K18" s="6">
        <v>11.5</v>
      </c>
      <c r="L18" s="6">
        <v>13.1</v>
      </c>
      <c r="M18" s="17">
        <f t="shared" si="0"/>
        <v>11.933333333333332</v>
      </c>
    </row>
    <row r="19" spans="1:13" x14ac:dyDescent="0.3">
      <c r="A19" s="5">
        <v>10</v>
      </c>
      <c r="B19" s="5">
        <v>1</v>
      </c>
      <c r="C19" s="6">
        <v>1</v>
      </c>
      <c r="D19" s="6">
        <v>5.5</v>
      </c>
      <c r="E19" s="6">
        <v>6</v>
      </c>
      <c r="F19" s="6">
        <v>80</v>
      </c>
      <c r="G19" s="6">
        <v>2</v>
      </c>
      <c r="H19" s="6">
        <v>21</v>
      </c>
      <c r="I19" s="6">
        <v>0.73</v>
      </c>
      <c r="J19" s="6">
        <v>14.1</v>
      </c>
      <c r="K19" s="6">
        <v>14.6</v>
      </c>
      <c r="L19" s="6">
        <v>9.4</v>
      </c>
      <c r="M19" s="17">
        <f t="shared" si="0"/>
        <v>12.700000000000001</v>
      </c>
    </row>
    <row r="20" spans="1:13" x14ac:dyDescent="0.3">
      <c r="A20" s="5">
        <v>11</v>
      </c>
      <c r="B20" s="5">
        <v>1</v>
      </c>
      <c r="C20" s="6">
        <v>6</v>
      </c>
      <c r="D20" s="6">
        <v>4.5</v>
      </c>
      <c r="E20" s="6">
        <v>4.5</v>
      </c>
      <c r="F20" s="6">
        <v>77</v>
      </c>
      <c r="G20" s="6">
        <v>3</v>
      </c>
      <c r="H20" s="6">
        <v>34</v>
      </c>
      <c r="I20" s="6">
        <v>0.55000000000000004</v>
      </c>
      <c r="J20" s="6">
        <v>12.9</v>
      </c>
      <c r="K20" s="6">
        <v>12.2</v>
      </c>
      <c r="L20" s="6">
        <v>11.5</v>
      </c>
      <c r="M20" s="17">
        <f t="shared" si="0"/>
        <v>12.200000000000001</v>
      </c>
    </row>
    <row r="21" spans="1:13" x14ac:dyDescent="0.3">
      <c r="A21" s="8">
        <v>12</v>
      </c>
      <c r="B21" s="8">
        <v>2</v>
      </c>
      <c r="C21" s="9">
        <v>1</v>
      </c>
      <c r="D21" s="9">
        <v>3.5</v>
      </c>
      <c r="E21" s="9">
        <v>4</v>
      </c>
      <c r="F21" s="9">
        <v>63</v>
      </c>
      <c r="G21" s="9">
        <v>3</v>
      </c>
      <c r="H21" s="9">
        <v>34</v>
      </c>
      <c r="I21" s="9">
        <v>0.63</v>
      </c>
      <c r="J21" s="9">
        <v>10.9</v>
      </c>
      <c r="K21" s="9">
        <v>9.8000000000000007</v>
      </c>
      <c r="L21" s="9">
        <v>10.5</v>
      </c>
      <c r="M21" s="19">
        <f>AVERAGE(J21, K21, L21)</f>
        <v>10.4</v>
      </c>
    </row>
    <row r="22" spans="1:13" x14ac:dyDescent="0.3">
      <c r="A22" s="8">
        <v>13</v>
      </c>
      <c r="B22" s="8">
        <v>2</v>
      </c>
      <c r="C22" s="9">
        <v>6</v>
      </c>
      <c r="D22" s="9">
        <v>5</v>
      </c>
      <c r="E22" s="9">
        <v>5.5</v>
      </c>
      <c r="F22" s="9">
        <v>75</v>
      </c>
      <c r="G22" s="9">
        <v>2</v>
      </c>
      <c r="H22" s="9">
        <v>13</v>
      </c>
      <c r="I22" s="9">
        <v>0.67</v>
      </c>
      <c r="J22" s="10">
        <v>13.9</v>
      </c>
      <c r="K22" s="9">
        <v>15.4</v>
      </c>
      <c r="L22" s="9">
        <v>14.1</v>
      </c>
      <c r="M22" s="19">
        <f t="shared" ref="M22:M56" si="1">AVERAGE(J22, K22, L22)</f>
        <v>14.466666666666667</v>
      </c>
    </row>
    <row r="23" spans="1:13" x14ac:dyDescent="0.3">
      <c r="A23" s="11" t="s">
        <v>17</v>
      </c>
      <c r="B23" s="11" t="s">
        <v>17</v>
      </c>
      <c r="C23" s="11" t="s">
        <v>17</v>
      </c>
      <c r="D23" s="11" t="s">
        <v>17</v>
      </c>
      <c r="E23" s="11" t="s">
        <v>17</v>
      </c>
      <c r="F23" s="11" t="s">
        <v>17</v>
      </c>
      <c r="G23" s="11" t="s">
        <v>17</v>
      </c>
      <c r="H23" s="11" t="s">
        <v>17</v>
      </c>
      <c r="I23" s="20" t="s">
        <v>28</v>
      </c>
      <c r="J23" s="11"/>
      <c r="K23" s="11"/>
      <c r="L23" s="11"/>
      <c r="M23" s="11" t="s">
        <v>17</v>
      </c>
    </row>
    <row r="24" spans="1:13" x14ac:dyDescent="0.3">
      <c r="A24" s="8">
        <v>14</v>
      </c>
      <c r="B24" s="8">
        <v>2</v>
      </c>
      <c r="C24" s="9">
        <v>10</v>
      </c>
      <c r="D24" s="9">
        <v>3.5</v>
      </c>
      <c r="E24" s="9">
        <v>4</v>
      </c>
      <c r="F24" s="9">
        <v>58</v>
      </c>
      <c r="G24" s="9">
        <v>4</v>
      </c>
      <c r="H24" s="9">
        <v>45</v>
      </c>
      <c r="I24" s="9">
        <v>0.56000000000000005</v>
      </c>
      <c r="J24" s="9">
        <v>12</v>
      </c>
      <c r="K24" s="9">
        <v>12.5</v>
      </c>
      <c r="L24" s="9">
        <v>14.1</v>
      </c>
      <c r="M24" s="19">
        <f t="shared" si="1"/>
        <v>12.866666666666667</v>
      </c>
    </row>
    <row r="25" spans="1:13" x14ac:dyDescent="0.3">
      <c r="A25" s="8">
        <v>15</v>
      </c>
      <c r="B25" s="8">
        <v>2</v>
      </c>
      <c r="C25" s="9">
        <v>3</v>
      </c>
      <c r="D25" s="9">
        <v>5.5</v>
      </c>
      <c r="E25" s="9">
        <v>6</v>
      </c>
      <c r="F25" s="9">
        <v>74</v>
      </c>
      <c r="G25" s="9">
        <v>2</v>
      </c>
      <c r="H25" s="9">
        <v>9</v>
      </c>
      <c r="I25" s="10">
        <v>0.75</v>
      </c>
      <c r="J25" s="9">
        <v>13.9</v>
      </c>
      <c r="K25" s="9">
        <v>14.8</v>
      </c>
      <c r="L25" s="9">
        <v>15.1</v>
      </c>
      <c r="M25" s="19">
        <f t="shared" si="1"/>
        <v>14.600000000000001</v>
      </c>
    </row>
    <row r="26" spans="1:13" x14ac:dyDescent="0.3">
      <c r="A26" s="8">
        <v>16</v>
      </c>
      <c r="B26" s="8">
        <v>2</v>
      </c>
      <c r="C26" s="9">
        <v>4</v>
      </c>
      <c r="D26" s="9">
        <v>3</v>
      </c>
      <c r="E26" s="9">
        <v>3.5</v>
      </c>
      <c r="F26" s="9">
        <v>61</v>
      </c>
      <c r="G26" s="9">
        <v>4</v>
      </c>
      <c r="H26" s="9">
        <v>57</v>
      </c>
      <c r="I26" s="9">
        <v>0.48</v>
      </c>
      <c r="J26" s="9">
        <v>9.5</v>
      </c>
      <c r="K26" s="9">
        <v>10.3</v>
      </c>
      <c r="L26" s="9">
        <v>11.2</v>
      </c>
      <c r="M26" s="19">
        <f t="shared" si="1"/>
        <v>10.333333333333334</v>
      </c>
    </row>
    <row r="27" spans="1:13" x14ac:dyDescent="0.3">
      <c r="A27" s="8">
        <v>17</v>
      </c>
      <c r="B27" s="8">
        <v>2</v>
      </c>
      <c r="C27" s="9">
        <v>2</v>
      </c>
      <c r="D27" s="9">
        <v>4</v>
      </c>
      <c r="E27" s="9">
        <v>4.5</v>
      </c>
      <c r="F27" s="9">
        <v>76</v>
      </c>
      <c r="G27" s="9">
        <v>2</v>
      </c>
      <c r="H27" s="9">
        <v>17</v>
      </c>
      <c r="I27" s="9">
        <v>0.68</v>
      </c>
      <c r="J27" s="9">
        <v>17.100000000000001</v>
      </c>
      <c r="K27" s="9">
        <v>18.5</v>
      </c>
      <c r="L27" s="9">
        <v>15.8</v>
      </c>
      <c r="M27" s="19">
        <f t="shared" si="1"/>
        <v>17.133333333333336</v>
      </c>
    </row>
    <row r="28" spans="1:13" x14ac:dyDescent="0.3">
      <c r="A28" s="8">
        <v>18</v>
      </c>
      <c r="B28" s="8">
        <v>2</v>
      </c>
      <c r="C28" s="9">
        <v>11</v>
      </c>
      <c r="D28" s="9">
        <v>6</v>
      </c>
      <c r="E28" s="9">
        <v>6</v>
      </c>
      <c r="F28" s="9">
        <v>84</v>
      </c>
      <c r="G28" s="9">
        <v>1</v>
      </c>
      <c r="H28" s="9"/>
      <c r="I28" s="9">
        <v>0.73</v>
      </c>
      <c r="J28" s="9">
        <v>11.9</v>
      </c>
      <c r="K28" s="9">
        <v>13.1</v>
      </c>
      <c r="L28" s="9">
        <v>12.2</v>
      </c>
      <c r="M28" s="19">
        <f t="shared" si="1"/>
        <v>12.4</v>
      </c>
    </row>
    <row r="29" spans="1:13" x14ac:dyDescent="0.3">
      <c r="A29" s="8">
        <v>19</v>
      </c>
      <c r="B29" s="8">
        <v>2</v>
      </c>
      <c r="C29" s="9">
        <v>7</v>
      </c>
      <c r="D29" s="9">
        <v>5.5</v>
      </c>
      <c r="E29" s="9">
        <v>5.5</v>
      </c>
      <c r="F29" s="9">
        <v>79</v>
      </c>
      <c r="G29" s="9">
        <v>2</v>
      </c>
      <c r="H29" s="9">
        <v>13</v>
      </c>
      <c r="I29" s="9">
        <v>0.65</v>
      </c>
      <c r="J29" s="9">
        <v>13.4</v>
      </c>
      <c r="K29" s="9">
        <v>13.2</v>
      </c>
      <c r="L29" s="9">
        <v>14.9</v>
      </c>
      <c r="M29" s="19">
        <f t="shared" si="1"/>
        <v>13.833333333333334</v>
      </c>
    </row>
    <row r="30" spans="1:13" x14ac:dyDescent="0.3">
      <c r="A30" s="8">
        <v>20</v>
      </c>
      <c r="B30" s="8">
        <v>2</v>
      </c>
      <c r="C30" s="9">
        <v>9</v>
      </c>
      <c r="D30" s="10">
        <v>4</v>
      </c>
      <c r="E30" s="9">
        <v>4.5</v>
      </c>
      <c r="F30" s="9">
        <v>69</v>
      </c>
      <c r="G30" s="9">
        <v>3</v>
      </c>
      <c r="H30" s="9">
        <v>35</v>
      </c>
      <c r="I30" s="9">
        <v>0.61</v>
      </c>
      <c r="J30" s="9">
        <v>12.9</v>
      </c>
      <c r="K30" s="9">
        <v>11.5</v>
      </c>
      <c r="L30" s="9">
        <v>15.3</v>
      </c>
      <c r="M30" s="19">
        <f t="shared" si="1"/>
        <v>13.233333333333334</v>
      </c>
    </row>
    <row r="31" spans="1:13" x14ac:dyDescent="0.3">
      <c r="A31" s="8">
        <v>21</v>
      </c>
      <c r="B31" s="8">
        <v>2</v>
      </c>
      <c r="C31" s="9">
        <v>5</v>
      </c>
      <c r="D31" s="9">
        <v>4.5</v>
      </c>
      <c r="E31" s="9">
        <v>5</v>
      </c>
      <c r="F31" s="9">
        <v>76</v>
      </c>
      <c r="G31" s="9">
        <v>3</v>
      </c>
      <c r="H31" s="9">
        <v>22</v>
      </c>
      <c r="I31" s="9">
        <v>0.68</v>
      </c>
      <c r="J31" s="9">
        <v>15.2</v>
      </c>
      <c r="K31" s="9">
        <v>14.1</v>
      </c>
      <c r="L31" s="10">
        <v>13.4</v>
      </c>
      <c r="M31" s="19">
        <f t="shared" si="1"/>
        <v>14.233333333333333</v>
      </c>
    </row>
    <row r="32" spans="1:13" x14ac:dyDescent="0.3">
      <c r="A32" s="8">
        <v>22</v>
      </c>
      <c r="B32" s="8">
        <v>2</v>
      </c>
      <c r="C32" s="9">
        <v>8</v>
      </c>
      <c r="D32" s="9">
        <v>3.5</v>
      </c>
      <c r="E32" s="9">
        <v>3.5</v>
      </c>
      <c r="F32" s="9">
        <v>49</v>
      </c>
      <c r="G32" s="9">
        <v>4</v>
      </c>
      <c r="H32" s="9">
        <v>62</v>
      </c>
      <c r="I32" s="9">
        <v>0.46</v>
      </c>
      <c r="J32" s="9">
        <v>11.1</v>
      </c>
      <c r="K32" s="9">
        <v>9</v>
      </c>
      <c r="L32" s="9">
        <v>9.6</v>
      </c>
      <c r="M32" s="19">
        <f t="shared" si="1"/>
        <v>9.9</v>
      </c>
    </row>
    <row r="33" spans="1:13" x14ac:dyDescent="0.3">
      <c r="A33" s="5">
        <v>23</v>
      </c>
      <c r="B33" s="6">
        <v>3</v>
      </c>
      <c r="C33" s="6">
        <v>4</v>
      </c>
      <c r="D33" s="6">
        <v>4.5</v>
      </c>
      <c r="E33" s="6">
        <v>5</v>
      </c>
      <c r="F33" s="6">
        <v>80</v>
      </c>
      <c r="G33" s="6">
        <v>2</v>
      </c>
      <c r="H33" s="6">
        <v>17</v>
      </c>
      <c r="I33" s="7">
        <v>0.64</v>
      </c>
      <c r="J33" s="6">
        <v>15.8</v>
      </c>
      <c r="K33" s="6">
        <v>15</v>
      </c>
      <c r="L33" s="6">
        <v>13.5</v>
      </c>
      <c r="M33" s="17">
        <f t="shared" si="1"/>
        <v>14.766666666666666</v>
      </c>
    </row>
    <row r="34" spans="1:13" x14ac:dyDescent="0.3">
      <c r="A34" s="5">
        <v>24</v>
      </c>
      <c r="B34" s="6">
        <v>3</v>
      </c>
      <c r="C34" s="6">
        <v>1</v>
      </c>
      <c r="D34" s="6">
        <v>3</v>
      </c>
      <c r="E34" s="6">
        <v>3.5</v>
      </c>
      <c r="F34" s="6">
        <v>49</v>
      </c>
      <c r="G34" s="6">
        <v>4</v>
      </c>
      <c r="H34" s="6">
        <v>58</v>
      </c>
      <c r="I34" s="7">
        <v>0.47</v>
      </c>
      <c r="J34" s="6">
        <v>9.8000000000000007</v>
      </c>
      <c r="K34" s="6">
        <v>9.9</v>
      </c>
      <c r="L34" s="6">
        <v>12.1</v>
      </c>
      <c r="M34" s="17">
        <f t="shared" si="1"/>
        <v>10.600000000000001</v>
      </c>
    </row>
    <row r="35" spans="1:13" x14ac:dyDescent="0.3">
      <c r="A35" s="5">
        <v>25</v>
      </c>
      <c r="B35" s="6">
        <v>3</v>
      </c>
      <c r="C35" s="6">
        <v>9</v>
      </c>
      <c r="D35" s="6">
        <v>5.5</v>
      </c>
      <c r="E35" s="6">
        <v>6</v>
      </c>
      <c r="F35" s="6">
        <v>78</v>
      </c>
      <c r="G35" s="6">
        <v>2</v>
      </c>
      <c r="H35" s="6">
        <v>14</v>
      </c>
      <c r="I35" s="6">
        <v>0.57999999999999996</v>
      </c>
      <c r="J35" s="6">
        <v>12.6</v>
      </c>
      <c r="K35" s="6">
        <v>11.9</v>
      </c>
      <c r="L35" s="6">
        <v>14.2</v>
      </c>
      <c r="M35" s="17">
        <f t="shared" si="1"/>
        <v>12.9</v>
      </c>
    </row>
    <row r="36" spans="1:13" x14ac:dyDescent="0.3">
      <c r="A36" s="5">
        <v>26</v>
      </c>
      <c r="B36" s="6">
        <v>3</v>
      </c>
      <c r="C36" s="6">
        <v>2</v>
      </c>
      <c r="D36" s="6">
        <v>4</v>
      </c>
      <c r="E36" s="6">
        <v>4</v>
      </c>
      <c r="F36" s="6">
        <v>67</v>
      </c>
      <c r="G36" s="6">
        <v>3</v>
      </c>
      <c r="H36" s="6">
        <v>38</v>
      </c>
      <c r="I36" s="6">
        <v>0.54</v>
      </c>
      <c r="J36" s="6">
        <v>14.3</v>
      </c>
      <c r="K36" s="6">
        <v>13.5</v>
      </c>
      <c r="L36" s="6">
        <v>13.5</v>
      </c>
      <c r="M36" s="17">
        <f t="shared" si="1"/>
        <v>13.766666666666666</v>
      </c>
    </row>
    <row r="37" spans="1:13" x14ac:dyDescent="0.3">
      <c r="A37" s="5">
        <v>27</v>
      </c>
      <c r="B37" s="6">
        <v>3</v>
      </c>
      <c r="C37" s="6">
        <v>6</v>
      </c>
      <c r="D37" s="6">
        <v>4</v>
      </c>
      <c r="E37" s="6">
        <v>4</v>
      </c>
      <c r="F37" s="6">
        <v>69</v>
      </c>
      <c r="G37" s="6">
        <v>3</v>
      </c>
      <c r="H37" s="6">
        <v>27</v>
      </c>
      <c r="I37" s="6">
        <v>0.6</v>
      </c>
      <c r="J37" s="6">
        <v>10.9</v>
      </c>
      <c r="K37" s="6">
        <v>9.1999999999999993</v>
      </c>
      <c r="L37" s="6">
        <v>9.6</v>
      </c>
      <c r="M37" s="17">
        <f t="shared" si="1"/>
        <v>9.9</v>
      </c>
    </row>
    <row r="38" spans="1:13" x14ac:dyDescent="0.3">
      <c r="A38" s="5">
        <v>28</v>
      </c>
      <c r="B38" s="6">
        <v>3</v>
      </c>
      <c r="C38" s="6">
        <v>11</v>
      </c>
      <c r="D38" s="6">
        <v>5.5</v>
      </c>
      <c r="E38" s="6">
        <v>6</v>
      </c>
      <c r="F38" s="6">
        <v>82</v>
      </c>
      <c r="G38" s="6">
        <v>2</v>
      </c>
      <c r="H38" s="6">
        <v>15</v>
      </c>
      <c r="I38" s="6">
        <v>0.74</v>
      </c>
      <c r="J38" s="6">
        <v>14.6</v>
      </c>
      <c r="K38" s="6">
        <v>13.6</v>
      </c>
      <c r="L38" s="6">
        <v>12.1</v>
      </c>
      <c r="M38" s="17">
        <f t="shared" si="1"/>
        <v>13.433333333333332</v>
      </c>
    </row>
    <row r="39" spans="1:13" x14ac:dyDescent="0.3">
      <c r="A39" s="5">
        <v>29</v>
      </c>
      <c r="B39" s="6">
        <v>3</v>
      </c>
      <c r="C39" s="6">
        <v>5</v>
      </c>
      <c r="D39" s="6">
        <v>6</v>
      </c>
      <c r="E39" s="6">
        <v>6.5</v>
      </c>
      <c r="F39" s="6">
        <v>82</v>
      </c>
      <c r="G39" s="6">
        <v>2</v>
      </c>
      <c r="H39" s="6">
        <v>6</v>
      </c>
      <c r="I39" s="7">
        <v>0.71</v>
      </c>
      <c r="J39" s="6">
        <v>18.100000000000001</v>
      </c>
      <c r="K39" s="6">
        <v>17.600000000000001</v>
      </c>
      <c r="L39" s="6">
        <v>16.2</v>
      </c>
      <c r="M39" s="17">
        <f t="shared" si="1"/>
        <v>17.3</v>
      </c>
    </row>
    <row r="40" spans="1:13" x14ac:dyDescent="0.3">
      <c r="A40" s="11" t="s">
        <v>17</v>
      </c>
      <c r="B40" s="11" t="s">
        <v>17</v>
      </c>
      <c r="C40" s="11" t="s">
        <v>17</v>
      </c>
      <c r="D40" s="11" t="s">
        <v>17</v>
      </c>
      <c r="E40" s="11" t="s">
        <v>17</v>
      </c>
      <c r="F40" s="11" t="s">
        <v>17</v>
      </c>
      <c r="G40" s="11" t="s">
        <v>17</v>
      </c>
      <c r="H40" s="11" t="s">
        <v>17</v>
      </c>
      <c r="I40" s="20" t="s">
        <v>28</v>
      </c>
      <c r="J40" s="11"/>
      <c r="K40" s="11"/>
      <c r="L40" s="11"/>
      <c r="M40" s="11"/>
    </row>
    <row r="41" spans="1:13" x14ac:dyDescent="0.3">
      <c r="A41" s="5">
        <v>30</v>
      </c>
      <c r="B41" s="6">
        <v>3</v>
      </c>
      <c r="C41" s="6">
        <v>8</v>
      </c>
      <c r="D41" s="6">
        <v>5.5</v>
      </c>
      <c r="E41" s="6">
        <v>5.5</v>
      </c>
      <c r="F41" s="6">
        <v>77</v>
      </c>
      <c r="G41" s="6">
        <v>3</v>
      </c>
      <c r="H41" s="6">
        <v>24</v>
      </c>
      <c r="I41" s="6">
        <v>0.59</v>
      </c>
      <c r="J41" s="6">
        <v>12.1</v>
      </c>
      <c r="K41" s="6">
        <v>13.1</v>
      </c>
      <c r="L41" s="6">
        <v>11.6</v>
      </c>
      <c r="M41" s="17">
        <f t="shared" si="1"/>
        <v>12.266666666666666</v>
      </c>
    </row>
    <row r="42" spans="1:13" x14ac:dyDescent="0.3">
      <c r="A42" s="5">
        <v>31</v>
      </c>
      <c r="B42" s="6">
        <v>3</v>
      </c>
      <c r="C42" s="6">
        <v>3</v>
      </c>
      <c r="D42" s="6">
        <v>5.5</v>
      </c>
      <c r="E42" s="6">
        <v>5.5</v>
      </c>
      <c r="F42" s="6">
        <v>81</v>
      </c>
      <c r="G42" s="6">
        <v>2</v>
      </c>
      <c r="H42" s="6">
        <v>11</v>
      </c>
      <c r="I42" s="6">
        <v>0.67</v>
      </c>
      <c r="J42" s="6">
        <v>12.9</v>
      </c>
      <c r="K42" s="6">
        <v>13.1</v>
      </c>
      <c r="L42" s="7">
        <v>13.9</v>
      </c>
      <c r="M42" s="17">
        <f t="shared" si="1"/>
        <v>13.299999999999999</v>
      </c>
    </row>
    <row r="43" spans="1:13" x14ac:dyDescent="0.3">
      <c r="A43" s="5">
        <v>32</v>
      </c>
      <c r="B43" s="6">
        <v>3</v>
      </c>
      <c r="C43" s="6">
        <v>7</v>
      </c>
      <c r="D43" s="6">
        <v>6</v>
      </c>
      <c r="E43" s="6">
        <v>6</v>
      </c>
      <c r="F43" s="6">
        <v>82</v>
      </c>
      <c r="G43" s="6">
        <v>2</v>
      </c>
      <c r="H43" s="6">
        <v>8</v>
      </c>
      <c r="I43" s="6">
        <v>0.78</v>
      </c>
      <c r="J43" s="6">
        <v>15.1</v>
      </c>
      <c r="K43" s="6">
        <v>16</v>
      </c>
      <c r="L43" s="6">
        <v>13.1</v>
      </c>
      <c r="M43" s="17">
        <f t="shared" si="1"/>
        <v>14.733333333333334</v>
      </c>
    </row>
    <row r="44" spans="1:13" x14ac:dyDescent="0.3">
      <c r="A44" s="5">
        <v>33</v>
      </c>
      <c r="B44" s="6">
        <v>3</v>
      </c>
      <c r="C44" s="6">
        <v>10</v>
      </c>
      <c r="D44" s="6">
        <v>6</v>
      </c>
      <c r="E44" s="6">
        <v>6</v>
      </c>
      <c r="F44" s="6">
        <v>84</v>
      </c>
      <c r="G44" s="6">
        <v>2</v>
      </c>
      <c r="H44" s="6">
        <v>8</v>
      </c>
      <c r="I44" s="6">
        <v>0.74</v>
      </c>
      <c r="J44" s="6">
        <v>12.5</v>
      </c>
      <c r="K44" s="6">
        <v>13.6</v>
      </c>
      <c r="L44" s="6">
        <v>10.4</v>
      </c>
      <c r="M44" s="17">
        <f t="shared" si="1"/>
        <v>12.166666666666666</v>
      </c>
    </row>
    <row r="45" spans="1:13" x14ac:dyDescent="0.3">
      <c r="A45" s="8">
        <v>34</v>
      </c>
      <c r="B45" s="9">
        <v>4</v>
      </c>
      <c r="C45" s="9">
        <v>7</v>
      </c>
      <c r="D45" s="10">
        <v>6</v>
      </c>
      <c r="E45" s="9">
        <v>6</v>
      </c>
      <c r="F45" s="9">
        <v>86</v>
      </c>
      <c r="G45" s="9">
        <v>2</v>
      </c>
      <c r="H45" s="9">
        <v>7</v>
      </c>
      <c r="I45" s="10">
        <v>0.66</v>
      </c>
      <c r="J45" s="9">
        <v>15.1</v>
      </c>
      <c r="K45" s="9">
        <v>14.3</v>
      </c>
      <c r="L45" s="9">
        <v>14.5</v>
      </c>
      <c r="M45" s="19">
        <f t="shared" si="1"/>
        <v>14.633333333333333</v>
      </c>
    </row>
    <row r="46" spans="1:13" x14ac:dyDescent="0.3">
      <c r="A46" s="8">
        <v>35</v>
      </c>
      <c r="B46" s="9">
        <v>4</v>
      </c>
      <c r="C46" s="9">
        <v>8</v>
      </c>
      <c r="D46" s="9">
        <v>5</v>
      </c>
      <c r="E46" s="9">
        <v>5.5</v>
      </c>
      <c r="F46" s="9">
        <v>76</v>
      </c>
      <c r="G46" s="9">
        <v>2</v>
      </c>
      <c r="H46" s="9">
        <v>21</v>
      </c>
      <c r="I46" s="9">
        <v>0.6</v>
      </c>
      <c r="J46" s="9">
        <v>12.1</v>
      </c>
      <c r="K46" s="9">
        <v>11.2</v>
      </c>
      <c r="L46" s="9">
        <v>11.5</v>
      </c>
      <c r="M46" s="19">
        <f t="shared" si="1"/>
        <v>11.6</v>
      </c>
    </row>
    <row r="47" spans="1:13" x14ac:dyDescent="0.3">
      <c r="A47" s="8">
        <v>36</v>
      </c>
      <c r="B47" s="9">
        <v>4</v>
      </c>
      <c r="C47" s="9">
        <v>11</v>
      </c>
      <c r="D47" s="9">
        <v>6.5</v>
      </c>
      <c r="E47" s="9">
        <v>6.5</v>
      </c>
      <c r="F47" s="9">
        <v>83</v>
      </c>
      <c r="G47" s="9">
        <v>1</v>
      </c>
      <c r="H47" s="9"/>
      <c r="I47" s="9">
        <v>0.74</v>
      </c>
      <c r="J47" s="9">
        <v>16.399999999999999</v>
      </c>
      <c r="K47" s="9">
        <v>14.9</v>
      </c>
      <c r="L47" s="9">
        <v>12.8</v>
      </c>
      <c r="M47" s="19">
        <f t="shared" si="1"/>
        <v>14.699999999999998</v>
      </c>
    </row>
    <row r="48" spans="1:13" x14ac:dyDescent="0.3">
      <c r="A48" s="8">
        <v>37</v>
      </c>
      <c r="B48" s="9">
        <v>4</v>
      </c>
      <c r="C48" s="9">
        <v>5</v>
      </c>
      <c r="D48" s="9">
        <v>5</v>
      </c>
      <c r="E48" s="9">
        <v>5.5</v>
      </c>
      <c r="F48" s="9">
        <v>78</v>
      </c>
      <c r="G48" s="9">
        <v>2</v>
      </c>
      <c r="H48" s="9">
        <v>13</v>
      </c>
      <c r="I48" s="9">
        <v>0.56999999999999995</v>
      </c>
      <c r="J48" s="9">
        <v>13.1</v>
      </c>
      <c r="K48" s="9">
        <v>11.8</v>
      </c>
      <c r="L48" s="9">
        <v>12.5</v>
      </c>
      <c r="M48" s="19">
        <f t="shared" si="1"/>
        <v>12.466666666666667</v>
      </c>
    </row>
    <row r="49" spans="1:13" x14ac:dyDescent="0.3">
      <c r="A49" s="8">
        <v>38</v>
      </c>
      <c r="B49" s="9">
        <v>4</v>
      </c>
      <c r="C49" s="9">
        <v>9</v>
      </c>
      <c r="D49" s="9">
        <v>5</v>
      </c>
      <c r="E49" s="9">
        <v>5.5</v>
      </c>
      <c r="F49" s="9">
        <v>72</v>
      </c>
      <c r="G49" s="9">
        <v>2</v>
      </c>
      <c r="H49" s="9">
        <v>26</v>
      </c>
      <c r="I49" s="9">
        <v>0.63</v>
      </c>
      <c r="J49" s="9">
        <v>14.3</v>
      </c>
      <c r="K49" s="9">
        <v>12.6</v>
      </c>
      <c r="L49" s="9">
        <v>16.100000000000001</v>
      </c>
      <c r="M49" s="19">
        <f t="shared" si="1"/>
        <v>14.333333333333334</v>
      </c>
    </row>
    <row r="50" spans="1:13" x14ac:dyDescent="0.3">
      <c r="A50" s="11" t="s">
        <v>17</v>
      </c>
      <c r="B50" s="11" t="s">
        <v>17</v>
      </c>
      <c r="C50" s="11" t="s">
        <v>17</v>
      </c>
      <c r="D50" s="11" t="s">
        <v>17</v>
      </c>
      <c r="E50" s="11" t="s">
        <v>17</v>
      </c>
      <c r="F50" s="11" t="s">
        <v>17</v>
      </c>
      <c r="G50" s="11" t="s">
        <v>17</v>
      </c>
      <c r="H50" s="11" t="s">
        <v>17</v>
      </c>
      <c r="I50" s="20" t="s">
        <v>28</v>
      </c>
      <c r="J50" s="11"/>
      <c r="K50" s="11"/>
      <c r="L50" s="11"/>
      <c r="M50" s="11"/>
    </row>
    <row r="51" spans="1:13" x14ac:dyDescent="0.3">
      <c r="A51" s="8">
        <v>39</v>
      </c>
      <c r="B51" s="9">
        <v>4</v>
      </c>
      <c r="C51" s="9">
        <v>6</v>
      </c>
      <c r="D51" s="10">
        <v>4</v>
      </c>
      <c r="E51" s="9">
        <v>4.5</v>
      </c>
      <c r="F51" s="9">
        <v>74</v>
      </c>
      <c r="G51" s="9">
        <v>3</v>
      </c>
      <c r="H51" s="9">
        <v>35</v>
      </c>
      <c r="I51" s="9">
        <v>0.53</v>
      </c>
      <c r="J51" s="9">
        <v>9.6</v>
      </c>
      <c r="K51" s="9">
        <v>9.4</v>
      </c>
      <c r="L51" s="9">
        <v>11.6</v>
      </c>
      <c r="M51" s="19">
        <f t="shared" si="1"/>
        <v>10.200000000000001</v>
      </c>
    </row>
    <row r="52" spans="1:13" x14ac:dyDescent="0.3">
      <c r="A52" s="8">
        <v>40</v>
      </c>
      <c r="B52" s="9">
        <v>4</v>
      </c>
      <c r="C52" s="9">
        <v>2</v>
      </c>
      <c r="D52" s="9">
        <v>5.5</v>
      </c>
      <c r="E52" s="10">
        <v>5.5</v>
      </c>
      <c r="F52" s="9">
        <v>78</v>
      </c>
      <c r="G52" s="9">
        <v>2</v>
      </c>
      <c r="H52" s="9">
        <v>12</v>
      </c>
      <c r="I52" s="9">
        <v>0.62</v>
      </c>
      <c r="J52" s="10">
        <v>16.5</v>
      </c>
      <c r="K52" s="10">
        <v>14.5</v>
      </c>
      <c r="L52" s="9">
        <v>19.3</v>
      </c>
      <c r="M52" s="19">
        <f t="shared" si="1"/>
        <v>16.766666666666666</v>
      </c>
    </row>
    <row r="53" spans="1:13" x14ac:dyDescent="0.3">
      <c r="A53" s="8">
        <v>41</v>
      </c>
      <c r="B53" s="9">
        <v>4</v>
      </c>
      <c r="C53" s="9">
        <v>10</v>
      </c>
      <c r="D53" s="9">
        <v>6</v>
      </c>
      <c r="E53" s="9">
        <v>6</v>
      </c>
      <c r="F53" s="9">
        <v>82</v>
      </c>
      <c r="G53" s="9">
        <v>2</v>
      </c>
      <c r="H53" s="9">
        <v>8</v>
      </c>
      <c r="I53" s="9">
        <v>0.63</v>
      </c>
      <c r="J53" s="9">
        <v>11.1</v>
      </c>
      <c r="K53" s="9">
        <v>12.4</v>
      </c>
      <c r="L53" s="9">
        <v>11.2</v>
      </c>
      <c r="M53" s="19">
        <f t="shared" si="1"/>
        <v>11.566666666666668</v>
      </c>
    </row>
    <row r="54" spans="1:13" x14ac:dyDescent="0.3">
      <c r="A54" s="8">
        <v>42</v>
      </c>
      <c r="B54" s="9">
        <v>4</v>
      </c>
      <c r="C54" s="9">
        <v>1</v>
      </c>
      <c r="D54" s="9">
        <v>2.5</v>
      </c>
      <c r="E54" s="9">
        <v>2.5</v>
      </c>
      <c r="F54" s="9">
        <v>32</v>
      </c>
      <c r="G54" s="9">
        <v>4</v>
      </c>
      <c r="H54" s="9">
        <v>78</v>
      </c>
      <c r="I54" s="9">
        <v>0.45</v>
      </c>
      <c r="J54" s="9">
        <v>9.8000000000000007</v>
      </c>
      <c r="K54" s="9">
        <v>10.8</v>
      </c>
      <c r="L54" s="9">
        <v>10.4</v>
      </c>
      <c r="M54" s="19">
        <f t="shared" si="1"/>
        <v>10.333333333333334</v>
      </c>
    </row>
    <row r="55" spans="1:13" x14ac:dyDescent="0.3">
      <c r="A55" s="8">
        <v>43</v>
      </c>
      <c r="B55" s="9">
        <v>4</v>
      </c>
      <c r="C55" s="9">
        <v>4</v>
      </c>
      <c r="D55" s="9">
        <v>5.5</v>
      </c>
      <c r="E55" s="9">
        <v>5.5</v>
      </c>
      <c r="F55" s="9">
        <v>71</v>
      </c>
      <c r="G55" s="9">
        <v>2</v>
      </c>
      <c r="H55" s="9">
        <v>16</v>
      </c>
      <c r="I55" s="9">
        <v>0.6</v>
      </c>
      <c r="J55" s="9">
        <v>10.9</v>
      </c>
      <c r="K55" s="9">
        <v>10.5</v>
      </c>
      <c r="L55" s="9">
        <v>11.1</v>
      </c>
      <c r="M55" s="19">
        <f t="shared" si="1"/>
        <v>10.833333333333334</v>
      </c>
    </row>
    <row r="56" spans="1:13" x14ac:dyDescent="0.3">
      <c r="A56" s="8">
        <v>44</v>
      </c>
      <c r="B56" s="9">
        <v>4</v>
      </c>
      <c r="C56" s="9">
        <v>3</v>
      </c>
      <c r="D56" s="9">
        <v>6.5</v>
      </c>
      <c r="E56" s="9">
        <v>6.5</v>
      </c>
      <c r="F56" s="9">
        <v>87</v>
      </c>
      <c r="G56" s="9">
        <v>2</v>
      </c>
      <c r="H56" s="9">
        <v>6</v>
      </c>
      <c r="I56" s="9">
        <v>0.63</v>
      </c>
      <c r="J56" s="9">
        <v>15.8</v>
      </c>
      <c r="K56" s="9">
        <v>16</v>
      </c>
      <c r="L56" s="9">
        <v>17.7</v>
      </c>
      <c r="M56" s="19">
        <f t="shared" si="1"/>
        <v>16.5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95075-32BC-44AE-8A2B-F08D83E808A1}">
  <dimension ref="A1:N56"/>
  <sheetViews>
    <sheetView topLeftCell="A12" workbookViewId="0">
      <selection activeCell="N63" sqref="N63"/>
    </sheetView>
  </sheetViews>
  <sheetFormatPr defaultRowHeight="14.4" x14ac:dyDescent="0.3"/>
  <sheetData>
    <row r="1" spans="1:14" x14ac:dyDescent="0.3">
      <c r="A1" t="s">
        <v>7</v>
      </c>
      <c r="C1" t="s">
        <v>8</v>
      </c>
    </row>
    <row r="2" spans="1:14" x14ac:dyDescent="0.3">
      <c r="A2" s="1" t="s">
        <v>13</v>
      </c>
      <c r="B2" t="s">
        <v>56</v>
      </c>
    </row>
    <row r="3" spans="1:14" x14ac:dyDescent="0.3">
      <c r="A3" s="1" t="s">
        <v>12</v>
      </c>
      <c r="B3" t="s">
        <v>24</v>
      </c>
    </row>
    <row r="4" spans="1:14" x14ac:dyDescent="0.3">
      <c r="A4" s="1" t="s">
        <v>11</v>
      </c>
      <c r="B4" t="s">
        <v>25</v>
      </c>
    </row>
    <row r="5" spans="1:14" x14ac:dyDescent="0.3">
      <c r="A5" t="s">
        <v>6</v>
      </c>
    </row>
    <row r="6" spans="1:14" ht="15" thickBot="1" x14ac:dyDescent="0.35">
      <c r="A6" s="1" t="s">
        <v>0</v>
      </c>
    </row>
    <row r="7" spans="1:14" ht="15" thickBot="1" x14ac:dyDescent="0.35">
      <c r="A7" s="1"/>
      <c r="J7" s="12"/>
      <c r="K7" s="13" t="s">
        <v>9</v>
      </c>
      <c r="L7" s="14"/>
      <c r="M7" s="15"/>
    </row>
    <row r="8" spans="1:14" ht="15" thickBot="1" x14ac:dyDescent="0.35">
      <c r="A8" s="2" t="s">
        <v>1</v>
      </c>
      <c r="B8" s="3" t="s">
        <v>2</v>
      </c>
      <c r="C8" s="4" t="s">
        <v>3</v>
      </c>
      <c r="D8" s="2" t="s">
        <v>4</v>
      </c>
      <c r="E8" s="3" t="s">
        <v>5</v>
      </c>
      <c r="F8" s="3" t="s">
        <v>16</v>
      </c>
      <c r="G8" s="3" t="s">
        <v>14</v>
      </c>
      <c r="H8" s="3" t="s">
        <v>15</v>
      </c>
      <c r="I8" s="3" t="s">
        <v>10</v>
      </c>
      <c r="J8" s="16" t="s">
        <v>18</v>
      </c>
      <c r="K8" s="16" t="s">
        <v>19</v>
      </c>
      <c r="L8" s="16" t="s">
        <v>20</v>
      </c>
      <c r="M8" s="22" t="s">
        <v>21</v>
      </c>
      <c r="N8" s="23" t="s">
        <v>57</v>
      </c>
    </row>
    <row r="9" spans="1:14" x14ac:dyDescent="0.3">
      <c r="A9" s="5">
        <v>1</v>
      </c>
      <c r="B9" s="5">
        <v>1</v>
      </c>
      <c r="C9" s="5">
        <v>8</v>
      </c>
      <c r="D9" s="6">
        <v>6</v>
      </c>
      <c r="E9" s="6">
        <v>6</v>
      </c>
      <c r="F9" s="6">
        <v>72</v>
      </c>
      <c r="G9" s="6">
        <v>2</v>
      </c>
      <c r="H9" s="6">
        <v>11</v>
      </c>
      <c r="I9" s="6">
        <v>0.57999999999999996</v>
      </c>
      <c r="J9" s="6">
        <v>43.5</v>
      </c>
      <c r="K9" s="6">
        <v>34.6</v>
      </c>
      <c r="L9" s="6">
        <v>30.7</v>
      </c>
      <c r="M9" s="17">
        <f>AVERAGE(J9, K9, L9)</f>
        <v>36.266666666666666</v>
      </c>
      <c r="N9" s="17">
        <v>18</v>
      </c>
    </row>
    <row r="10" spans="1:14" x14ac:dyDescent="0.3">
      <c r="A10" s="5">
        <v>2</v>
      </c>
      <c r="B10" s="5">
        <v>1</v>
      </c>
      <c r="C10" s="6">
        <v>9</v>
      </c>
      <c r="D10" s="6">
        <v>6</v>
      </c>
      <c r="E10" s="6">
        <v>6</v>
      </c>
      <c r="F10" s="6">
        <v>79</v>
      </c>
      <c r="G10" s="6">
        <v>2</v>
      </c>
      <c r="H10" s="6">
        <v>9</v>
      </c>
      <c r="I10" s="6">
        <v>0.63</v>
      </c>
      <c r="J10" s="6">
        <v>40.5</v>
      </c>
      <c r="K10" s="6">
        <v>40.6</v>
      </c>
      <c r="L10" s="7">
        <v>42.7</v>
      </c>
      <c r="M10" s="17">
        <f t="shared" ref="M10:M20" si="0">AVERAGE(J10, K10, L10)</f>
        <v>41.266666666666666</v>
      </c>
      <c r="N10" s="17">
        <v>21</v>
      </c>
    </row>
    <row r="11" spans="1:14" x14ac:dyDescent="0.3">
      <c r="A11" s="5">
        <v>3</v>
      </c>
      <c r="B11" s="5">
        <v>1</v>
      </c>
      <c r="C11" s="6">
        <v>7</v>
      </c>
      <c r="D11" s="6">
        <v>6</v>
      </c>
      <c r="E11" s="6">
        <v>6.5</v>
      </c>
      <c r="F11" s="6">
        <v>82</v>
      </c>
      <c r="G11" s="6">
        <v>2</v>
      </c>
      <c r="H11" s="6">
        <v>5</v>
      </c>
      <c r="I11" s="6">
        <v>0.68</v>
      </c>
      <c r="J11" s="6">
        <v>38.6</v>
      </c>
      <c r="K11" s="6">
        <v>42.4</v>
      </c>
      <c r="L11" s="6">
        <v>45.1</v>
      </c>
      <c r="M11" s="17">
        <f t="shared" si="0"/>
        <v>42.033333333333331</v>
      </c>
      <c r="N11" s="17">
        <v>19</v>
      </c>
    </row>
    <row r="12" spans="1:14" x14ac:dyDescent="0.3">
      <c r="A12" s="5">
        <v>4</v>
      </c>
      <c r="B12" s="5">
        <v>1</v>
      </c>
      <c r="C12" s="6">
        <v>3</v>
      </c>
      <c r="D12" s="6">
        <v>5.5</v>
      </c>
      <c r="E12" s="6">
        <v>5.5</v>
      </c>
      <c r="F12" s="6">
        <v>82</v>
      </c>
      <c r="G12" s="6">
        <v>2</v>
      </c>
      <c r="H12" s="6">
        <v>4</v>
      </c>
      <c r="I12" s="6">
        <v>0.65</v>
      </c>
      <c r="J12" s="6">
        <v>35.200000000000003</v>
      </c>
      <c r="K12" s="6">
        <v>34.6</v>
      </c>
      <c r="L12" s="6">
        <v>26.1</v>
      </c>
      <c r="M12" s="17">
        <f t="shared" si="0"/>
        <v>31.966666666666669</v>
      </c>
      <c r="N12" s="17">
        <v>16</v>
      </c>
    </row>
    <row r="13" spans="1:14" x14ac:dyDescent="0.3">
      <c r="A13" s="11" t="s">
        <v>17</v>
      </c>
      <c r="B13" s="11" t="s">
        <v>17</v>
      </c>
      <c r="C13" s="11" t="s">
        <v>17</v>
      </c>
      <c r="D13" s="11" t="s">
        <v>17</v>
      </c>
      <c r="E13" s="11" t="s">
        <v>17</v>
      </c>
      <c r="F13" s="11" t="s">
        <v>17</v>
      </c>
      <c r="G13" s="11" t="s">
        <v>17</v>
      </c>
      <c r="H13" s="11" t="s">
        <v>17</v>
      </c>
      <c r="I13" s="11" t="s">
        <v>17</v>
      </c>
      <c r="J13" s="11" t="s">
        <v>17</v>
      </c>
      <c r="K13" s="11" t="s">
        <v>17</v>
      </c>
      <c r="L13" s="11" t="s">
        <v>17</v>
      </c>
      <c r="M13" s="11" t="s">
        <v>17</v>
      </c>
      <c r="N13" s="11" t="s">
        <v>17</v>
      </c>
    </row>
    <row r="14" spans="1:14" x14ac:dyDescent="0.3">
      <c r="A14" s="5">
        <v>5</v>
      </c>
      <c r="B14" s="5">
        <v>1</v>
      </c>
      <c r="C14" s="6">
        <v>2</v>
      </c>
      <c r="D14" s="6">
        <v>6.5</v>
      </c>
      <c r="E14" s="6">
        <v>6.5</v>
      </c>
      <c r="F14" s="6">
        <v>78</v>
      </c>
      <c r="G14" s="6">
        <v>2</v>
      </c>
      <c r="H14" s="6">
        <v>5</v>
      </c>
      <c r="I14" s="6">
        <v>0.6</v>
      </c>
      <c r="J14" s="6">
        <v>32.1</v>
      </c>
      <c r="K14" s="6">
        <v>34.5</v>
      </c>
      <c r="L14" s="7">
        <v>42.2</v>
      </c>
      <c r="M14" s="17">
        <f t="shared" si="0"/>
        <v>36.266666666666666</v>
      </c>
      <c r="N14" s="17">
        <v>0</v>
      </c>
    </row>
    <row r="15" spans="1:14" x14ac:dyDescent="0.3">
      <c r="A15" s="5">
        <v>6</v>
      </c>
      <c r="B15" s="5">
        <v>1</v>
      </c>
      <c r="C15" s="6">
        <v>10</v>
      </c>
      <c r="D15" s="6">
        <v>6</v>
      </c>
      <c r="E15" s="6">
        <v>6</v>
      </c>
      <c r="F15" s="6">
        <v>74</v>
      </c>
      <c r="G15" s="6">
        <v>2</v>
      </c>
      <c r="H15" s="6">
        <v>8</v>
      </c>
      <c r="I15" s="6">
        <v>0.65</v>
      </c>
      <c r="J15" s="6">
        <v>42.3</v>
      </c>
      <c r="K15" s="6">
        <v>22.4</v>
      </c>
      <c r="L15" s="6">
        <v>32.799999999999997</v>
      </c>
      <c r="M15" s="17">
        <f t="shared" si="0"/>
        <v>32.499999999999993</v>
      </c>
      <c r="N15" s="17">
        <v>29</v>
      </c>
    </row>
    <row r="16" spans="1:14" x14ac:dyDescent="0.3">
      <c r="A16" s="5">
        <v>7</v>
      </c>
      <c r="B16" s="5">
        <v>1</v>
      </c>
      <c r="C16" s="6">
        <v>4</v>
      </c>
      <c r="D16" s="6">
        <v>4</v>
      </c>
      <c r="E16" s="6">
        <v>4.5</v>
      </c>
      <c r="F16" s="6">
        <v>66</v>
      </c>
      <c r="G16" s="6">
        <v>3</v>
      </c>
      <c r="H16" s="6">
        <v>26</v>
      </c>
      <c r="I16" s="6">
        <v>0.62</v>
      </c>
      <c r="J16" s="7">
        <v>26.3</v>
      </c>
      <c r="K16" s="6">
        <v>32.4</v>
      </c>
      <c r="L16" s="6">
        <v>35.4</v>
      </c>
      <c r="M16" s="17">
        <f t="shared" si="0"/>
        <v>31.366666666666664</v>
      </c>
      <c r="N16" s="17">
        <v>15</v>
      </c>
    </row>
    <row r="17" spans="1:14" x14ac:dyDescent="0.3">
      <c r="A17" s="5">
        <v>8</v>
      </c>
      <c r="B17" s="5">
        <v>1</v>
      </c>
      <c r="C17" s="6">
        <v>5</v>
      </c>
      <c r="D17" s="6">
        <v>7</v>
      </c>
      <c r="E17" s="6">
        <v>7</v>
      </c>
      <c r="F17" s="6">
        <v>86</v>
      </c>
      <c r="G17" s="6">
        <v>2</v>
      </c>
      <c r="H17" s="6">
        <v>3</v>
      </c>
      <c r="I17" s="6">
        <v>0.75</v>
      </c>
      <c r="J17" s="6">
        <v>39.5</v>
      </c>
      <c r="K17" s="6">
        <v>36.4</v>
      </c>
      <c r="L17" s="6">
        <v>39</v>
      </c>
      <c r="M17" s="17">
        <f t="shared" si="0"/>
        <v>38.300000000000004</v>
      </c>
      <c r="N17" s="17">
        <v>38</v>
      </c>
    </row>
    <row r="18" spans="1:14" x14ac:dyDescent="0.3">
      <c r="A18" s="5">
        <v>9</v>
      </c>
      <c r="B18" s="5">
        <v>1</v>
      </c>
      <c r="C18" s="6">
        <v>11</v>
      </c>
      <c r="D18" s="6">
        <v>5.5</v>
      </c>
      <c r="E18" s="6">
        <v>6</v>
      </c>
      <c r="F18" s="6">
        <v>82</v>
      </c>
      <c r="G18" s="6">
        <v>2</v>
      </c>
      <c r="H18" s="6">
        <v>12</v>
      </c>
      <c r="I18" s="6">
        <v>0.61</v>
      </c>
      <c r="J18" s="6">
        <v>36.700000000000003</v>
      </c>
      <c r="K18" s="6">
        <v>39.4</v>
      </c>
      <c r="L18" s="6">
        <v>38.6</v>
      </c>
      <c r="M18" s="17">
        <f t="shared" si="0"/>
        <v>38.233333333333327</v>
      </c>
      <c r="N18" s="17">
        <v>12</v>
      </c>
    </row>
    <row r="19" spans="1:14" x14ac:dyDescent="0.3">
      <c r="A19" s="5">
        <v>10</v>
      </c>
      <c r="B19" s="5">
        <v>1</v>
      </c>
      <c r="C19" s="6">
        <v>1</v>
      </c>
      <c r="D19" s="6">
        <v>5.5</v>
      </c>
      <c r="E19" s="6">
        <v>6</v>
      </c>
      <c r="F19" s="6">
        <v>82</v>
      </c>
      <c r="G19" s="6">
        <v>2</v>
      </c>
      <c r="H19" s="6">
        <v>14</v>
      </c>
      <c r="I19" s="6">
        <v>0.7</v>
      </c>
      <c r="J19" s="6">
        <v>25.3</v>
      </c>
      <c r="K19" s="6">
        <v>26.7</v>
      </c>
      <c r="L19" s="6">
        <v>27.8</v>
      </c>
      <c r="M19" s="17">
        <f t="shared" si="0"/>
        <v>26.599999999999998</v>
      </c>
      <c r="N19" s="17">
        <v>26</v>
      </c>
    </row>
    <row r="20" spans="1:14" x14ac:dyDescent="0.3">
      <c r="A20" s="5">
        <v>11</v>
      </c>
      <c r="B20" s="5">
        <v>1</v>
      </c>
      <c r="C20" s="6">
        <v>6</v>
      </c>
      <c r="D20" s="6">
        <v>5.5</v>
      </c>
      <c r="E20" s="6">
        <v>5</v>
      </c>
      <c r="F20" s="6">
        <v>76</v>
      </c>
      <c r="G20" s="6">
        <v>2</v>
      </c>
      <c r="H20" s="6">
        <v>18</v>
      </c>
      <c r="I20" s="6">
        <v>0.56999999999999995</v>
      </c>
      <c r="J20" s="6">
        <v>25.3</v>
      </c>
      <c r="K20" s="6">
        <v>32.5</v>
      </c>
      <c r="L20" s="6">
        <v>42.8</v>
      </c>
      <c r="M20" s="17">
        <f t="shared" si="0"/>
        <v>33.533333333333331</v>
      </c>
      <c r="N20" s="17">
        <v>8</v>
      </c>
    </row>
    <row r="21" spans="1:14" x14ac:dyDescent="0.3">
      <c r="A21" s="8">
        <v>12</v>
      </c>
      <c r="B21" s="8">
        <v>2</v>
      </c>
      <c r="C21" s="9">
        <v>1</v>
      </c>
      <c r="D21" s="9">
        <v>5.5</v>
      </c>
      <c r="E21" s="9">
        <v>6</v>
      </c>
      <c r="F21" s="9">
        <v>78</v>
      </c>
      <c r="G21" s="9">
        <v>2</v>
      </c>
      <c r="H21" s="9">
        <v>8</v>
      </c>
      <c r="I21" s="9">
        <v>0.72</v>
      </c>
      <c r="J21" s="9">
        <v>38.6</v>
      </c>
      <c r="K21" s="9">
        <v>35.4</v>
      </c>
      <c r="L21" s="9">
        <v>27.9</v>
      </c>
      <c r="M21" s="19">
        <f>AVERAGE(J21, K21, L21)</f>
        <v>33.966666666666669</v>
      </c>
      <c r="N21" s="19">
        <v>16</v>
      </c>
    </row>
    <row r="22" spans="1:14" x14ac:dyDescent="0.3">
      <c r="A22" s="8">
        <v>13</v>
      </c>
      <c r="B22" s="8">
        <v>2</v>
      </c>
      <c r="C22" s="9">
        <v>6</v>
      </c>
      <c r="D22" s="9">
        <v>6</v>
      </c>
      <c r="E22" s="9">
        <v>6</v>
      </c>
      <c r="F22" s="9">
        <v>78</v>
      </c>
      <c r="G22" s="9">
        <v>2</v>
      </c>
      <c r="H22" s="9">
        <v>13</v>
      </c>
      <c r="I22" s="9">
        <v>0.71</v>
      </c>
      <c r="J22" s="10">
        <v>29.3</v>
      </c>
      <c r="K22" s="9">
        <v>39.5</v>
      </c>
      <c r="L22" s="9">
        <v>46.9</v>
      </c>
      <c r="M22" s="19">
        <f t="shared" ref="M22:M56" si="1">AVERAGE(J22, K22, L22)</f>
        <v>38.566666666666663</v>
      </c>
      <c r="N22" s="19">
        <v>21</v>
      </c>
    </row>
    <row r="23" spans="1:14" x14ac:dyDescent="0.3">
      <c r="A23" s="11" t="s">
        <v>17</v>
      </c>
      <c r="B23" s="11" t="s">
        <v>17</v>
      </c>
      <c r="C23" s="11" t="s">
        <v>17</v>
      </c>
      <c r="D23" s="11" t="s">
        <v>17</v>
      </c>
      <c r="E23" s="11" t="s">
        <v>17</v>
      </c>
      <c r="F23" s="11" t="s">
        <v>17</v>
      </c>
      <c r="G23" s="11" t="s">
        <v>17</v>
      </c>
      <c r="H23" s="11" t="s">
        <v>17</v>
      </c>
      <c r="I23" s="11" t="s">
        <v>17</v>
      </c>
      <c r="J23" s="11" t="s">
        <v>17</v>
      </c>
      <c r="K23" s="11" t="s">
        <v>17</v>
      </c>
      <c r="L23" s="11" t="s">
        <v>17</v>
      </c>
      <c r="M23" s="11" t="s">
        <v>17</v>
      </c>
      <c r="N23" s="11" t="s">
        <v>17</v>
      </c>
    </row>
    <row r="24" spans="1:14" x14ac:dyDescent="0.3">
      <c r="A24" s="8">
        <v>14</v>
      </c>
      <c r="B24" s="8">
        <v>2</v>
      </c>
      <c r="C24" s="9">
        <v>10</v>
      </c>
      <c r="D24" s="9">
        <v>4</v>
      </c>
      <c r="E24" s="9">
        <v>4</v>
      </c>
      <c r="F24" s="9">
        <v>54</v>
      </c>
      <c r="G24" s="9">
        <v>3</v>
      </c>
      <c r="H24" s="9">
        <v>32</v>
      </c>
      <c r="I24" s="9">
        <v>0.59</v>
      </c>
      <c r="J24" s="9">
        <v>29.7</v>
      </c>
      <c r="K24" s="9">
        <v>30.3</v>
      </c>
      <c r="L24" s="9">
        <v>30.5</v>
      </c>
      <c r="M24" s="19">
        <f t="shared" si="1"/>
        <v>30.166666666666668</v>
      </c>
      <c r="N24" s="19">
        <v>3</v>
      </c>
    </row>
    <row r="25" spans="1:14" x14ac:dyDescent="0.3">
      <c r="A25" s="8">
        <v>15</v>
      </c>
      <c r="B25" s="8">
        <v>2</v>
      </c>
      <c r="C25" s="9">
        <v>3</v>
      </c>
      <c r="D25" s="9">
        <v>5</v>
      </c>
      <c r="E25" s="9">
        <v>6</v>
      </c>
      <c r="F25" s="9">
        <v>76</v>
      </c>
      <c r="G25" s="9">
        <v>2</v>
      </c>
      <c r="H25" s="9">
        <v>10</v>
      </c>
      <c r="I25" s="10">
        <v>0.76</v>
      </c>
      <c r="J25" s="9">
        <v>45.1</v>
      </c>
      <c r="K25" s="9">
        <v>35.200000000000003</v>
      </c>
      <c r="L25" s="9">
        <v>42.6</v>
      </c>
      <c r="M25" s="19">
        <f t="shared" si="1"/>
        <v>40.966666666666669</v>
      </c>
      <c r="N25" s="19">
        <v>12</v>
      </c>
    </row>
    <row r="26" spans="1:14" x14ac:dyDescent="0.3">
      <c r="A26" s="8">
        <v>16</v>
      </c>
      <c r="B26" s="8">
        <v>2</v>
      </c>
      <c r="C26" s="9">
        <v>4</v>
      </c>
      <c r="D26" s="9">
        <v>4.5</v>
      </c>
      <c r="E26" s="9">
        <v>4.5</v>
      </c>
      <c r="F26" s="9">
        <v>67</v>
      </c>
      <c r="G26" s="9">
        <v>3</v>
      </c>
      <c r="H26" s="9">
        <v>41</v>
      </c>
      <c r="I26" s="9">
        <v>0.56000000000000005</v>
      </c>
      <c r="J26" s="9">
        <v>26.5</v>
      </c>
      <c r="K26" s="9">
        <v>26.9</v>
      </c>
      <c r="L26" s="9">
        <v>27.8</v>
      </c>
      <c r="M26" s="19">
        <f t="shared" si="1"/>
        <v>27.066666666666666</v>
      </c>
      <c r="N26" s="19">
        <v>0</v>
      </c>
    </row>
    <row r="27" spans="1:14" x14ac:dyDescent="0.3">
      <c r="A27" s="8">
        <v>17</v>
      </c>
      <c r="B27" s="8">
        <v>2</v>
      </c>
      <c r="C27" s="9">
        <v>2</v>
      </c>
      <c r="D27" s="9">
        <v>5.5</v>
      </c>
      <c r="E27" s="9">
        <v>5.5</v>
      </c>
      <c r="F27" s="9">
        <v>76</v>
      </c>
      <c r="G27" s="9">
        <v>3</v>
      </c>
      <c r="H27" s="9">
        <v>24</v>
      </c>
      <c r="I27" s="9">
        <v>0.69</v>
      </c>
      <c r="J27" s="9">
        <v>33.4</v>
      </c>
      <c r="K27" s="9">
        <v>25.6</v>
      </c>
      <c r="L27" s="9">
        <v>24.1</v>
      </c>
      <c r="M27" s="19">
        <f t="shared" si="1"/>
        <v>27.7</v>
      </c>
      <c r="N27" s="19">
        <v>9</v>
      </c>
    </row>
    <row r="28" spans="1:14" x14ac:dyDescent="0.3">
      <c r="A28" s="8">
        <v>18</v>
      </c>
      <c r="B28" s="8">
        <v>2</v>
      </c>
      <c r="C28" s="9">
        <v>11</v>
      </c>
      <c r="D28" s="9">
        <v>6.5</v>
      </c>
      <c r="E28" s="9">
        <v>7</v>
      </c>
      <c r="F28" s="9">
        <v>86</v>
      </c>
      <c r="G28" s="9">
        <v>1</v>
      </c>
      <c r="H28" s="9">
        <v>0</v>
      </c>
      <c r="I28" s="9">
        <v>0.75</v>
      </c>
      <c r="J28" s="9">
        <v>42.3</v>
      </c>
      <c r="K28" s="9">
        <v>39.799999999999997</v>
      </c>
      <c r="L28" s="9">
        <v>40.200000000000003</v>
      </c>
      <c r="M28" s="19">
        <f t="shared" si="1"/>
        <v>40.766666666666666</v>
      </c>
      <c r="N28" s="19">
        <v>26</v>
      </c>
    </row>
    <row r="29" spans="1:14" x14ac:dyDescent="0.3">
      <c r="A29" s="8">
        <v>19</v>
      </c>
      <c r="B29" s="8">
        <v>2</v>
      </c>
      <c r="C29" s="9">
        <v>7</v>
      </c>
      <c r="D29" s="9">
        <v>4</v>
      </c>
      <c r="E29" s="9">
        <v>4</v>
      </c>
      <c r="F29" s="9">
        <v>74</v>
      </c>
      <c r="G29" s="9">
        <v>3</v>
      </c>
      <c r="H29" s="9">
        <v>26</v>
      </c>
      <c r="I29" s="9">
        <v>0.55000000000000004</v>
      </c>
      <c r="J29" s="9">
        <v>37.799999999999997</v>
      </c>
      <c r="K29" s="9">
        <v>38.6</v>
      </c>
      <c r="L29" s="9">
        <v>33.6</v>
      </c>
      <c r="M29" s="19">
        <f t="shared" si="1"/>
        <v>36.666666666666664</v>
      </c>
      <c r="N29" s="19">
        <v>18</v>
      </c>
    </row>
    <row r="30" spans="1:14" x14ac:dyDescent="0.3">
      <c r="A30" s="8">
        <v>20</v>
      </c>
      <c r="B30" s="8">
        <v>2</v>
      </c>
      <c r="C30" s="9">
        <v>9</v>
      </c>
      <c r="D30" s="10">
        <v>3.5</v>
      </c>
      <c r="E30" s="9">
        <v>4</v>
      </c>
      <c r="F30" s="9">
        <v>61</v>
      </c>
      <c r="G30" s="9">
        <v>3</v>
      </c>
      <c r="H30" s="9">
        <v>36</v>
      </c>
      <c r="I30" s="9">
        <v>0.53</v>
      </c>
      <c r="J30" s="9">
        <v>36.5</v>
      </c>
      <c r="K30" s="9">
        <v>38.4</v>
      </c>
      <c r="L30" s="9">
        <v>33.6</v>
      </c>
      <c r="M30" s="19">
        <f t="shared" si="1"/>
        <v>36.166666666666664</v>
      </c>
      <c r="N30" s="19">
        <v>9</v>
      </c>
    </row>
    <row r="31" spans="1:14" x14ac:dyDescent="0.3">
      <c r="A31" s="8">
        <v>21</v>
      </c>
      <c r="B31" s="8">
        <v>2</v>
      </c>
      <c r="C31" s="9">
        <v>5</v>
      </c>
      <c r="D31" s="9">
        <v>5</v>
      </c>
      <c r="E31" s="9">
        <v>5.5</v>
      </c>
      <c r="F31" s="9">
        <v>74</v>
      </c>
      <c r="G31" s="9">
        <v>2</v>
      </c>
      <c r="H31" s="9">
        <v>22</v>
      </c>
      <c r="I31" s="9">
        <v>0.69</v>
      </c>
      <c r="J31" s="9">
        <v>35</v>
      </c>
      <c r="K31" s="9">
        <v>37.799999999999997</v>
      </c>
      <c r="L31" s="10">
        <v>42.1</v>
      </c>
      <c r="M31" s="19">
        <f t="shared" si="1"/>
        <v>38.300000000000004</v>
      </c>
      <c r="N31" s="19">
        <v>12</v>
      </c>
    </row>
    <row r="32" spans="1:14" x14ac:dyDescent="0.3">
      <c r="A32" s="8">
        <v>22</v>
      </c>
      <c r="B32" s="8">
        <v>2</v>
      </c>
      <c r="C32" s="9">
        <v>8</v>
      </c>
      <c r="D32" s="9">
        <v>4</v>
      </c>
      <c r="E32" s="9">
        <v>4</v>
      </c>
      <c r="F32" s="9">
        <v>56</v>
      </c>
      <c r="G32" s="9">
        <v>3</v>
      </c>
      <c r="H32" s="9">
        <v>44</v>
      </c>
      <c r="I32" s="9">
        <v>0.55000000000000004</v>
      </c>
      <c r="J32" s="9">
        <v>27.5</v>
      </c>
      <c r="K32" s="9">
        <v>32.5</v>
      </c>
      <c r="L32" s="9">
        <v>28.1</v>
      </c>
      <c r="M32" s="19">
        <f t="shared" si="1"/>
        <v>29.366666666666664</v>
      </c>
      <c r="N32" s="19">
        <v>7</v>
      </c>
    </row>
    <row r="33" spans="1:14" x14ac:dyDescent="0.3">
      <c r="A33" s="5">
        <v>23</v>
      </c>
      <c r="B33" s="6">
        <v>3</v>
      </c>
      <c r="C33" s="6">
        <v>4</v>
      </c>
      <c r="D33" s="6">
        <v>4</v>
      </c>
      <c r="E33" s="6">
        <v>4</v>
      </c>
      <c r="F33" s="6">
        <v>67</v>
      </c>
      <c r="G33" s="6">
        <v>3</v>
      </c>
      <c r="H33" s="6">
        <v>26</v>
      </c>
      <c r="I33" s="7">
        <v>0.56000000000000005</v>
      </c>
      <c r="J33" s="6">
        <v>35.200000000000003</v>
      </c>
      <c r="K33" s="6">
        <v>34.1</v>
      </c>
      <c r="L33" s="6">
        <v>35</v>
      </c>
      <c r="M33" s="17">
        <f t="shared" si="1"/>
        <v>34.766666666666673</v>
      </c>
      <c r="N33" s="17">
        <v>0</v>
      </c>
    </row>
    <row r="34" spans="1:14" x14ac:dyDescent="0.3">
      <c r="A34" s="5">
        <v>24</v>
      </c>
      <c r="B34" s="6">
        <v>3</v>
      </c>
      <c r="C34" s="6">
        <v>1</v>
      </c>
      <c r="D34" s="6">
        <v>4</v>
      </c>
      <c r="E34" s="6">
        <v>4.5</v>
      </c>
      <c r="F34" s="6">
        <v>68</v>
      </c>
      <c r="G34" s="6">
        <v>3</v>
      </c>
      <c r="H34" s="6">
        <v>31</v>
      </c>
      <c r="I34" s="7">
        <v>0.55000000000000004</v>
      </c>
      <c r="J34" s="6">
        <v>20.3</v>
      </c>
      <c r="K34" s="6">
        <v>24.6</v>
      </c>
      <c r="L34" s="6">
        <v>21.8</v>
      </c>
      <c r="M34" s="17">
        <f t="shared" si="1"/>
        <v>22.233333333333334</v>
      </c>
      <c r="N34" s="17">
        <v>12</v>
      </c>
    </row>
    <row r="35" spans="1:14" x14ac:dyDescent="0.3">
      <c r="A35" s="5">
        <v>25</v>
      </c>
      <c r="B35" s="6">
        <v>3</v>
      </c>
      <c r="C35" s="6">
        <v>9</v>
      </c>
      <c r="D35" s="6">
        <v>4.5</v>
      </c>
      <c r="E35" s="6">
        <v>5</v>
      </c>
      <c r="F35" s="6">
        <v>75</v>
      </c>
      <c r="G35" s="6">
        <v>2</v>
      </c>
      <c r="H35" s="6">
        <v>9</v>
      </c>
      <c r="I35" s="6">
        <v>0.61</v>
      </c>
      <c r="J35" s="6">
        <v>38.9</v>
      </c>
      <c r="K35" s="6">
        <v>34.6</v>
      </c>
      <c r="L35" s="6">
        <v>36</v>
      </c>
      <c r="M35" s="17">
        <f t="shared" si="1"/>
        <v>36.5</v>
      </c>
      <c r="N35" s="17">
        <v>5</v>
      </c>
    </row>
    <row r="36" spans="1:14" x14ac:dyDescent="0.3">
      <c r="A36" s="5">
        <v>26</v>
      </c>
      <c r="B36" s="6">
        <v>3</v>
      </c>
      <c r="C36" s="6">
        <v>2</v>
      </c>
      <c r="D36" s="6">
        <v>4.5</v>
      </c>
      <c r="E36" s="6">
        <v>4.5</v>
      </c>
      <c r="F36" s="6">
        <v>65</v>
      </c>
      <c r="G36" s="6">
        <v>3</v>
      </c>
      <c r="H36" s="6">
        <v>44</v>
      </c>
      <c r="I36" s="6">
        <v>0.53</v>
      </c>
      <c r="J36" s="6">
        <v>31.2</v>
      </c>
      <c r="K36" s="6">
        <v>26.9</v>
      </c>
      <c r="L36" s="6">
        <v>30.5</v>
      </c>
      <c r="M36" s="17">
        <f t="shared" si="1"/>
        <v>29.533333333333331</v>
      </c>
      <c r="N36" s="17">
        <v>4</v>
      </c>
    </row>
    <row r="37" spans="1:14" x14ac:dyDescent="0.3">
      <c r="A37" s="5">
        <v>27</v>
      </c>
      <c r="B37" s="6">
        <v>3</v>
      </c>
      <c r="C37" s="6">
        <v>6</v>
      </c>
      <c r="D37" s="6">
        <v>4.5</v>
      </c>
      <c r="E37" s="6">
        <v>5.5</v>
      </c>
      <c r="F37" s="6">
        <v>72</v>
      </c>
      <c r="G37" s="6">
        <v>3</v>
      </c>
      <c r="H37" s="6">
        <v>29</v>
      </c>
      <c r="I37" s="6">
        <v>0.66</v>
      </c>
      <c r="J37" s="6">
        <v>20.3</v>
      </c>
      <c r="K37" s="6">
        <v>29.5</v>
      </c>
      <c r="L37" s="6">
        <v>26.4</v>
      </c>
      <c r="M37" s="17">
        <f t="shared" si="1"/>
        <v>25.399999999999995</v>
      </c>
      <c r="N37" s="17">
        <v>9</v>
      </c>
    </row>
    <row r="38" spans="1:14" x14ac:dyDescent="0.3">
      <c r="A38" s="5">
        <v>28</v>
      </c>
      <c r="B38" s="6">
        <v>3</v>
      </c>
      <c r="C38" s="6">
        <v>11</v>
      </c>
      <c r="D38" s="6">
        <v>6.5</v>
      </c>
      <c r="E38" s="6">
        <v>6.5</v>
      </c>
      <c r="F38" s="6">
        <v>82</v>
      </c>
      <c r="G38" s="6">
        <v>2</v>
      </c>
      <c r="H38" s="6">
        <v>5</v>
      </c>
      <c r="I38" s="6">
        <v>0.72</v>
      </c>
      <c r="J38" s="6">
        <v>44.5</v>
      </c>
      <c r="K38" s="6">
        <v>36.799999999999997</v>
      </c>
      <c r="L38" s="6">
        <v>34.9</v>
      </c>
      <c r="M38" s="17">
        <f t="shared" si="1"/>
        <v>38.733333333333327</v>
      </c>
      <c r="N38" s="17">
        <v>32</v>
      </c>
    </row>
    <row r="39" spans="1:14" x14ac:dyDescent="0.3">
      <c r="A39" s="5">
        <v>29</v>
      </c>
      <c r="B39" s="6">
        <v>3</v>
      </c>
      <c r="C39" s="6">
        <v>5</v>
      </c>
      <c r="D39" s="6">
        <v>6</v>
      </c>
      <c r="E39" s="6">
        <v>6</v>
      </c>
      <c r="F39" s="6">
        <v>83</v>
      </c>
      <c r="G39" s="6">
        <v>2</v>
      </c>
      <c r="H39" s="6">
        <v>6</v>
      </c>
      <c r="I39" s="7">
        <v>0.7</v>
      </c>
      <c r="J39" s="6">
        <v>39.6</v>
      </c>
      <c r="K39" s="6">
        <v>33.4</v>
      </c>
      <c r="L39" s="6">
        <v>41.5</v>
      </c>
      <c r="M39" s="17">
        <f t="shared" si="1"/>
        <v>38.166666666666664</v>
      </c>
      <c r="N39" s="17">
        <v>38</v>
      </c>
    </row>
    <row r="40" spans="1:14" x14ac:dyDescent="0.3">
      <c r="A40" s="11" t="s">
        <v>17</v>
      </c>
      <c r="B40" s="11" t="s">
        <v>17</v>
      </c>
      <c r="C40" s="11" t="s">
        <v>17</v>
      </c>
      <c r="D40" s="11" t="s">
        <v>17</v>
      </c>
      <c r="E40" s="11" t="s">
        <v>17</v>
      </c>
      <c r="F40" s="11" t="s">
        <v>17</v>
      </c>
      <c r="G40" s="11" t="s">
        <v>17</v>
      </c>
      <c r="H40" s="11" t="s">
        <v>17</v>
      </c>
      <c r="I40" s="11" t="s">
        <v>17</v>
      </c>
      <c r="J40" s="11" t="s">
        <v>17</v>
      </c>
      <c r="K40" s="11" t="s">
        <v>17</v>
      </c>
      <c r="L40" s="11" t="s">
        <v>17</v>
      </c>
      <c r="M40" s="11" t="s">
        <v>17</v>
      </c>
      <c r="N40" s="11" t="s">
        <v>17</v>
      </c>
    </row>
    <row r="41" spans="1:14" x14ac:dyDescent="0.3">
      <c r="A41" s="5">
        <v>30</v>
      </c>
      <c r="B41" s="6">
        <v>3</v>
      </c>
      <c r="C41" s="6">
        <v>8</v>
      </c>
      <c r="D41" s="6">
        <v>4.5</v>
      </c>
      <c r="E41" s="6">
        <v>4</v>
      </c>
      <c r="F41" s="6">
        <v>76</v>
      </c>
      <c r="G41" s="6">
        <v>3</v>
      </c>
      <c r="H41" s="6">
        <v>26</v>
      </c>
      <c r="I41" s="6">
        <v>0.59</v>
      </c>
      <c r="J41" s="6">
        <v>41.2</v>
      </c>
      <c r="K41" s="6">
        <v>26.6</v>
      </c>
      <c r="L41" s="6">
        <v>22.2</v>
      </c>
      <c r="M41" s="17">
        <f t="shared" si="1"/>
        <v>30.000000000000004</v>
      </c>
      <c r="N41" s="17">
        <v>11</v>
      </c>
    </row>
    <row r="42" spans="1:14" x14ac:dyDescent="0.3">
      <c r="A42" s="5">
        <v>31</v>
      </c>
      <c r="B42" s="6">
        <v>3</v>
      </c>
      <c r="C42" s="6">
        <v>3</v>
      </c>
      <c r="D42" s="6">
        <v>6</v>
      </c>
      <c r="E42" s="6">
        <v>6</v>
      </c>
      <c r="F42" s="6">
        <v>80</v>
      </c>
      <c r="G42" s="6">
        <v>2</v>
      </c>
      <c r="H42" s="6">
        <v>11</v>
      </c>
      <c r="I42" s="6">
        <v>0.7</v>
      </c>
      <c r="J42" s="6">
        <v>43.5</v>
      </c>
      <c r="K42" s="6">
        <v>39.9</v>
      </c>
      <c r="L42" s="7">
        <v>37.9</v>
      </c>
      <c r="M42" s="17">
        <f t="shared" si="1"/>
        <v>40.433333333333337</v>
      </c>
      <c r="N42" s="17">
        <v>13</v>
      </c>
    </row>
    <row r="43" spans="1:14" x14ac:dyDescent="0.3">
      <c r="A43" s="5">
        <v>32</v>
      </c>
      <c r="B43" s="6">
        <v>3</v>
      </c>
      <c r="C43" s="6">
        <v>7</v>
      </c>
      <c r="D43" s="6">
        <v>6</v>
      </c>
      <c r="E43" s="6">
        <v>6</v>
      </c>
      <c r="F43" s="6">
        <v>82</v>
      </c>
      <c r="G43" s="6">
        <v>2</v>
      </c>
      <c r="H43" s="6">
        <v>6</v>
      </c>
      <c r="I43" s="6">
        <v>0.75</v>
      </c>
      <c r="J43" s="6">
        <v>34.6</v>
      </c>
      <c r="K43" s="6">
        <v>36.200000000000003</v>
      </c>
      <c r="L43" s="6">
        <v>40.299999999999997</v>
      </c>
      <c r="M43" s="17">
        <f t="shared" si="1"/>
        <v>37.033333333333339</v>
      </c>
      <c r="N43" s="17">
        <v>19</v>
      </c>
    </row>
    <row r="44" spans="1:14" x14ac:dyDescent="0.3">
      <c r="A44" s="5">
        <v>33</v>
      </c>
      <c r="B44" s="6">
        <v>3</v>
      </c>
      <c r="C44" s="6">
        <v>10</v>
      </c>
      <c r="D44" s="6">
        <v>6</v>
      </c>
      <c r="E44" s="6">
        <v>6.5</v>
      </c>
      <c r="F44" s="6">
        <v>84</v>
      </c>
      <c r="G44" s="6">
        <v>2</v>
      </c>
      <c r="H44" s="6">
        <v>4</v>
      </c>
      <c r="I44" s="6">
        <v>0.78</v>
      </c>
      <c r="J44" s="6">
        <v>29</v>
      </c>
      <c r="K44" s="6">
        <v>31.6</v>
      </c>
      <c r="L44" s="6">
        <v>23.3</v>
      </c>
      <c r="M44" s="17">
        <f t="shared" si="1"/>
        <v>27.966666666666669</v>
      </c>
      <c r="N44" s="17">
        <v>48</v>
      </c>
    </row>
    <row r="45" spans="1:14" x14ac:dyDescent="0.3">
      <c r="A45" s="8">
        <v>34</v>
      </c>
      <c r="B45" s="9">
        <v>4</v>
      </c>
      <c r="C45" s="9">
        <v>7</v>
      </c>
      <c r="D45" s="10">
        <v>6</v>
      </c>
      <c r="E45" s="9">
        <v>5.5</v>
      </c>
      <c r="F45" s="9">
        <v>85</v>
      </c>
      <c r="G45" s="9">
        <v>2</v>
      </c>
      <c r="H45" s="9">
        <v>7</v>
      </c>
      <c r="I45" s="10">
        <v>0.66</v>
      </c>
      <c r="J45" s="9">
        <v>45.2</v>
      </c>
      <c r="K45" s="9">
        <v>45.3</v>
      </c>
      <c r="L45" s="9">
        <v>41.5</v>
      </c>
      <c r="M45" s="19">
        <f t="shared" si="1"/>
        <v>44</v>
      </c>
      <c r="N45" s="19">
        <v>28</v>
      </c>
    </row>
    <row r="46" spans="1:14" x14ac:dyDescent="0.3">
      <c r="A46" s="8">
        <v>35</v>
      </c>
      <c r="B46" s="9">
        <v>4</v>
      </c>
      <c r="C46" s="9">
        <v>8</v>
      </c>
      <c r="D46" s="9">
        <v>5.5</v>
      </c>
      <c r="E46" s="9">
        <v>5.5</v>
      </c>
      <c r="F46" s="9">
        <v>76</v>
      </c>
      <c r="G46" s="9">
        <v>2</v>
      </c>
      <c r="H46" s="9">
        <v>17</v>
      </c>
      <c r="I46" s="9">
        <v>0.64</v>
      </c>
      <c r="J46" s="9">
        <v>39.6</v>
      </c>
      <c r="K46" s="9">
        <v>37.799999999999997</v>
      </c>
      <c r="L46" s="9">
        <v>35.9</v>
      </c>
      <c r="M46" s="19">
        <f t="shared" si="1"/>
        <v>37.766666666666673</v>
      </c>
      <c r="N46" s="19">
        <v>12</v>
      </c>
    </row>
    <row r="47" spans="1:14" x14ac:dyDescent="0.3">
      <c r="A47" s="8">
        <v>36</v>
      </c>
      <c r="B47" s="9">
        <v>4</v>
      </c>
      <c r="C47" s="9">
        <v>11</v>
      </c>
      <c r="D47" s="9">
        <v>6.5</v>
      </c>
      <c r="E47" s="9">
        <v>6.5</v>
      </c>
      <c r="F47" s="9">
        <v>81</v>
      </c>
      <c r="G47" s="9">
        <v>2</v>
      </c>
      <c r="H47" s="9">
        <v>5</v>
      </c>
      <c r="I47" s="9">
        <v>0.72</v>
      </c>
      <c r="J47" s="9">
        <v>40.200000000000003</v>
      </c>
      <c r="K47" s="9">
        <v>41.2</v>
      </c>
      <c r="L47" s="9">
        <v>43.3</v>
      </c>
      <c r="M47" s="19">
        <f t="shared" si="1"/>
        <v>41.56666666666667</v>
      </c>
      <c r="N47" s="19">
        <v>18</v>
      </c>
    </row>
    <row r="48" spans="1:14" x14ac:dyDescent="0.3">
      <c r="A48" s="8">
        <v>37</v>
      </c>
      <c r="B48" s="9">
        <v>4</v>
      </c>
      <c r="C48" s="9">
        <v>5</v>
      </c>
      <c r="D48" s="9">
        <v>6</v>
      </c>
      <c r="E48" s="9">
        <v>6</v>
      </c>
      <c r="F48" s="9">
        <v>78</v>
      </c>
      <c r="G48" s="9">
        <v>2</v>
      </c>
      <c r="H48" s="9">
        <v>11</v>
      </c>
      <c r="I48" s="9">
        <v>0.61</v>
      </c>
      <c r="J48" s="9">
        <v>42.3</v>
      </c>
      <c r="K48" s="9">
        <v>42.8</v>
      </c>
      <c r="L48" s="9">
        <v>27.3</v>
      </c>
      <c r="M48" s="19">
        <f t="shared" si="1"/>
        <v>37.466666666666661</v>
      </c>
      <c r="N48" s="19">
        <v>0</v>
      </c>
    </row>
    <row r="49" spans="1:14" x14ac:dyDescent="0.3">
      <c r="A49" s="8">
        <v>38</v>
      </c>
      <c r="B49" s="9">
        <v>4</v>
      </c>
      <c r="C49" s="9">
        <v>9</v>
      </c>
      <c r="D49" s="9">
        <v>5.5</v>
      </c>
      <c r="E49" s="9">
        <v>5.5</v>
      </c>
      <c r="F49" s="9">
        <v>76</v>
      </c>
      <c r="G49" s="9">
        <v>2</v>
      </c>
      <c r="H49" s="9">
        <v>17</v>
      </c>
      <c r="I49" s="9">
        <v>0.65</v>
      </c>
      <c r="J49" s="9">
        <v>43.2</v>
      </c>
      <c r="K49" s="9">
        <v>43.8</v>
      </c>
      <c r="L49" s="9">
        <v>39.9</v>
      </c>
      <c r="M49" s="19">
        <f t="shared" si="1"/>
        <v>42.300000000000004</v>
      </c>
      <c r="N49" s="19">
        <v>12</v>
      </c>
    </row>
    <row r="50" spans="1:14" x14ac:dyDescent="0.3">
      <c r="A50" s="11" t="s">
        <v>17</v>
      </c>
      <c r="B50" s="11" t="s">
        <v>17</v>
      </c>
      <c r="C50" s="11" t="s">
        <v>17</v>
      </c>
      <c r="D50" s="11" t="s">
        <v>17</v>
      </c>
      <c r="E50" s="11" t="s">
        <v>17</v>
      </c>
      <c r="F50" s="11" t="s">
        <v>17</v>
      </c>
      <c r="G50" s="11" t="s">
        <v>17</v>
      </c>
      <c r="H50" s="11" t="s">
        <v>17</v>
      </c>
      <c r="I50" s="11" t="s">
        <v>17</v>
      </c>
      <c r="J50" s="11" t="s">
        <v>17</v>
      </c>
      <c r="K50" s="11" t="s">
        <v>17</v>
      </c>
      <c r="L50" s="11" t="s">
        <v>17</v>
      </c>
      <c r="M50" s="11" t="s">
        <v>17</v>
      </c>
      <c r="N50" s="11" t="s">
        <v>17</v>
      </c>
    </row>
    <row r="51" spans="1:14" x14ac:dyDescent="0.3">
      <c r="A51" s="8">
        <v>39</v>
      </c>
      <c r="B51" s="9">
        <v>4</v>
      </c>
      <c r="C51" s="9">
        <v>6</v>
      </c>
      <c r="D51" s="10">
        <v>6</v>
      </c>
      <c r="E51" s="9">
        <v>5.5</v>
      </c>
      <c r="F51" s="9">
        <v>79</v>
      </c>
      <c r="G51" s="9">
        <v>2</v>
      </c>
      <c r="H51" s="9">
        <v>16</v>
      </c>
      <c r="I51" s="9">
        <v>0.61</v>
      </c>
      <c r="J51" s="9">
        <v>28.3</v>
      </c>
      <c r="K51" s="9">
        <v>30.5</v>
      </c>
      <c r="L51" s="9">
        <v>36.200000000000003</v>
      </c>
      <c r="M51" s="19">
        <f t="shared" si="1"/>
        <v>31.666666666666668</v>
      </c>
      <c r="N51" s="19">
        <v>9</v>
      </c>
    </row>
    <row r="52" spans="1:14" x14ac:dyDescent="0.3">
      <c r="A52" s="8">
        <v>40</v>
      </c>
      <c r="B52" s="9">
        <v>4</v>
      </c>
      <c r="C52" s="9">
        <v>2</v>
      </c>
      <c r="D52" s="9">
        <v>5.5</v>
      </c>
      <c r="E52" s="10">
        <v>6</v>
      </c>
      <c r="F52" s="9">
        <v>81</v>
      </c>
      <c r="G52" s="9">
        <v>2</v>
      </c>
      <c r="H52" s="9">
        <v>8</v>
      </c>
      <c r="I52" s="9">
        <v>0.69</v>
      </c>
      <c r="J52" s="10">
        <v>36.200000000000003</v>
      </c>
      <c r="K52" s="10">
        <v>45.2</v>
      </c>
      <c r="L52" s="9">
        <v>42.8</v>
      </c>
      <c r="M52" s="19">
        <f t="shared" si="1"/>
        <v>41.4</v>
      </c>
      <c r="N52" s="19">
        <v>10</v>
      </c>
    </row>
    <row r="53" spans="1:14" x14ac:dyDescent="0.3">
      <c r="A53" s="8">
        <v>41</v>
      </c>
      <c r="B53" s="9">
        <v>4</v>
      </c>
      <c r="C53" s="9">
        <v>10</v>
      </c>
      <c r="D53" s="9">
        <v>6</v>
      </c>
      <c r="E53" s="9">
        <v>6</v>
      </c>
      <c r="F53" s="9">
        <v>79</v>
      </c>
      <c r="G53" s="9">
        <v>2</v>
      </c>
      <c r="H53" s="9">
        <v>13</v>
      </c>
      <c r="I53" s="9">
        <v>0.59</v>
      </c>
      <c r="J53" s="9">
        <v>39.799999999999997</v>
      </c>
      <c r="K53" s="9">
        <v>32.5</v>
      </c>
      <c r="L53" s="9">
        <v>29.7</v>
      </c>
      <c r="M53" s="19">
        <f t="shared" si="1"/>
        <v>34</v>
      </c>
      <c r="N53" s="19">
        <v>7</v>
      </c>
    </row>
    <row r="54" spans="1:14" x14ac:dyDescent="0.3">
      <c r="A54" s="8">
        <v>42</v>
      </c>
      <c r="B54" s="9">
        <v>4</v>
      </c>
      <c r="C54" s="9">
        <v>1</v>
      </c>
      <c r="D54" s="9">
        <v>3.5</v>
      </c>
      <c r="E54" s="9">
        <v>4</v>
      </c>
      <c r="F54" s="9">
        <v>58</v>
      </c>
      <c r="G54" s="9">
        <v>4</v>
      </c>
      <c r="H54" s="9">
        <v>58</v>
      </c>
      <c r="I54" s="9">
        <v>0.51</v>
      </c>
      <c r="J54" s="9">
        <v>38.5</v>
      </c>
      <c r="K54" s="9">
        <v>26.3</v>
      </c>
      <c r="L54" s="9">
        <v>27.5</v>
      </c>
      <c r="M54" s="19">
        <f t="shared" si="1"/>
        <v>30.766666666666666</v>
      </c>
      <c r="N54" s="19">
        <v>4</v>
      </c>
    </row>
    <row r="55" spans="1:14" x14ac:dyDescent="0.3">
      <c r="A55" s="8">
        <v>43</v>
      </c>
      <c r="B55" s="9">
        <v>4</v>
      </c>
      <c r="C55" s="9">
        <v>4</v>
      </c>
      <c r="D55" s="9">
        <v>5</v>
      </c>
      <c r="E55" s="9">
        <v>5</v>
      </c>
      <c r="F55" s="9">
        <v>78</v>
      </c>
      <c r="G55" s="9">
        <v>2</v>
      </c>
      <c r="H55" s="9">
        <v>14</v>
      </c>
      <c r="I55" s="9">
        <v>0.59</v>
      </c>
      <c r="J55" s="9">
        <v>25.4</v>
      </c>
      <c r="K55" s="9">
        <v>29.6</v>
      </c>
      <c r="L55" s="9">
        <v>23.4</v>
      </c>
      <c r="M55" s="19">
        <f t="shared" si="1"/>
        <v>26.133333333333336</v>
      </c>
      <c r="N55" s="19">
        <v>8</v>
      </c>
    </row>
    <row r="56" spans="1:14" x14ac:dyDescent="0.3">
      <c r="A56" s="8">
        <v>44</v>
      </c>
      <c r="B56" s="9">
        <v>4</v>
      </c>
      <c r="C56" s="9">
        <v>3</v>
      </c>
      <c r="D56" s="9">
        <v>7</v>
      </c>
      <c r="E56" s="9">
        <v>7</v>
      </c>
      <c r="F56" s="9">
        <v>88</v>
      </c>
      <c r="G56" s="9">
        <v>2</v>
      </c>
      <c r="H56" s="9">
        <v>3</v>
      </c>
      <c r="I56" s="9">
        <v>0.63</v>
      </c>
      <c r="J56" s="9">
        <v>44.1</v>
      </c>
      <c r="K56" s="9">
        <v>49.5</v>
      </c>
      <c r="L56" s="9">
        <v>38.5</v>
      </c>
      <c r="M56" s="19">
        <f t="shared" si="1"/>
        <v>44.033333333333331</v>
      </c>
      <c r="N56" s="19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C09BC-53BB-4788-B9F8-E732BF987506}">
  <dimension ref="A1:N56"/>
  <sheetViews>
    <sheetView tabSelected="1" zoomScaleNormal="100" workbookViewId="0">
      <selection activeCell="G4" sqref="G4"/>
    </sheetView>
  </sheetViews>
  <sheetFormatPr defaultRowHeight="14.4" x14ac:dyDescent="0.3"/>
  <sheetData>
    <row r="1" spans="1:14" x14ac:dyDescent="0.3">
      <c r="A1" t="s">
        <v>7</v>
      </c>
      <c r="C1" t="s">
        <v>8</v>
      </c>
    </row>
    <row r="2" spans="1:14" x14ac:dyDescent="0.3">
      <c r="A2" s="1" t="s">
        <v>13</v>
      </c>
      <c r="B2" t="s">
        <v>58</v>
      </c>
    </row>
    <row r="3" spans="1:14" x14ac:dyDescent="0.3">
      <c r="A3" s="1" t="s">
        <v>12</v>
      </c>
      <c r="B3" t="s">
        <v>24</v>
      </c>
    </row>
    <row r="4" spans="1:14" x14ac:dyDescent="0.3">
      <c r="A4" s="1" t="s">
        <v>11</v>
      </c>
      <c r="B4" t="s">
        <v>25</v>
      </c>
    </row>
    <row r="5" spans="1:14" x14ac:dyDescent="0.3">
      <c r="A5" t="s">
        <v>6</v>
      </c>
    </row>
    <row r="6" spans="1:14" ht="15" thickBot="1" x14ac:dyDescent="0.35">
      <c r="A6" s="1" t="s">
        <v>0</v>
      </c>
    </row>
    <row r="7" spans="1:14" ht="15" thickBot="1" x14ac:dyDescent="0.35">
      <c r="A7" s="1"/>
      <c r="J7" s="12"/>
      <c r="K7" s="13" t="s">
        <v>9</v>
      </c>
      <c r="L7" s="14"/>
      <c r="M7" s="15"/>
    </row>
    <row r="8" spans="1:14" ht="15" thickBot="1" x14ac:dyDescent="0.35">
      <c r="A8" s="2" t="s">
        <v>1</v>
      </c>
      <c r="B8" s="3" t="s">
        <v>2</v>
      </c>
      <c r="C8" s="4" t="s">
        <v>3</v>
      </c>
      <c r="D8" s="2" t="s">
        <v>4</v>
      </c>
      <c r="E8" s="3" t="s">
        <v>5</v>
      </c>
      <c r="F8" s="3" t="s">
        <v>16</v>
      </c>
      <c r="G8" s="3" t="s">
        <v>14</v>
      </c>
      <c r="H8" s="3" t="s">
        <v>15</v>
      </c>
      <c r="I8" s="3" t="s">
        <v>10</v>
      </c>
      <c r="J8" s="16" t="s">
        <v>18</v>
      </c>
      <c r="K8" s="16" t="s">
        <v>19</v>
      </c>
      <c r="L8" s="16" t="s">
        <v>20</v>
      </c>
      <c r="M8" s="22" t="s">
        <v>21</v>
      </c>
      <c r="N8" s="23" t="s">
        <v>57</v>
      </c>
    </row>
    <row r="9" spans="1:14" x14ac:dyDescent="0.3">
      <c r="A9" s="5">
        <v>1</v>
      </c>
      <c r="B9" s="5">
        <v>1</v>
      </c>
      <c r="C9" s="5">
        <v>8</v>
      </c>
      <c r="D9" s="6">
        <v>6</v>
      </c>
      <c r="E9" s="6">
        <v>6</v>
      </c>
      <c r="F9" s="6">
        <v>70</v>
      </c>
      <c r="G9" s="6">
        <v>2</v>
      </c>
      <c r="H9" s="6">
        <v>10</v>
      </c>
      <c r="I9" s="6">
        <v>0.57999999999999996</v>
      </c>
      <c r="J9" s="6">
        <v>44.8</v>
      </c>
      <c r="K9" s="6">
        <v>34.9</v>
      </c>
      <c r="L9" s="6">
        <v>31.3</v>
      </c>
      <c r="M9" s="17">
        <f>AVERAGE(J9, K9, L9)</f>
        <v>36.999999999999993</v>
      </c>
      <c r="N9" s="24">
        <v>19</v>
      </c>
    </row>
    <row r="10" spans="1:14" x14ac:dyDescent="0.3">
      <c r="A10" s="5">
        <v>2</v>
      </c>
      <c r="B10" s="5">
        <v>1</v>
      </c>
      <c r="C10" s="6">
        <v>9</v>
      </c>
      <c r="D10" s="6">
        <v>6</v>
      </c>
      <c r="E10" s="6">
        <v>6</v>
      </c>
      <c r="F10" s="6">
        <v>78</v>
      </c>
      <c r="G10" s="6">
        <v>2</v>
      </c>
      <c r="H10" s="6">
        <v>9</v>
      </c>
      <c r="I10" s="6">
        <v>0.63</v>
      </c>
      <c r="J10" s="6">
        <v>41.7</v>
      </c>
      <c r="K10" s="6">
        <v>41</v>
      </c>
      <c r="L10" s="7">
        <v>43.6</v>
      </c>
      <c r="M10" s="17">
        <f t="shared" ref="M10:M20" si="0">AVERAGE(J10, K10, L10)</f>
        <v>42.1</v>
      </c>
      <c r="N10" s="24">
        <v>22</v>
      </c>
    </row>
    <row r="11" spans="1:14" x14ac:dyDescent="0.3">
      <c r="A11" s="5">
        <v>3</v>
      </c>
      <c r="B11" s="5">
        <v>1</v>
      </c>
      <c r="C11" s="6">
        <v>7</v>
      </c>
      <c r="D11" s="6">
        <v>6</v>
      </c>
      <c r="E11" s="6">
        <v>6.5</v>
      </c>
      <c r="F11" s="6">
        <v>83</v>
      </c>
      <c r="G11" s="6">
        <v>2</v>
      </c>
      <c r="H11" s="6">
        <v>5</v>
      </c>
      <c r="I11" s="6">
        <v>0.68</v>
      </c>
      <c r="J11" s="6">
        <v>39.799999999999997</v>
      </c>
      <c r="K11" s="6">
        <v>42.8</v>
      </c>
      <c r="L11" s="6">
        <v>46</v>
      </c>
      <c r="M11" s="17">
        <f t="shared" si="0"/>
        <v>42.866666666666667</v>
      </c>
      <c r="N11" s="24">
        <v>20</v>
      </c>
    </row>
    <row r="12" spans="1:14" x14ac:dyDescent="0.3">
      <c r="A12" s="5">
        <v>4</v>
      </c>
      <c r="B12" s="5">
        <v>1</v>
      </c>
      <c r="C12" s="6">
        <v>3</v>
      </c>
      <c r="D12" s="6">
        <v>5.5</v>
      </c>
      <c r="E12" s="6">
        <v>6</v>
      </c>
      <c r="F12" s="6">
        <v>82</v>
      </c>
      <c r="G12" s="6">
        <v>2</v>
      </c>
      <c r="H12" s="6">
        <v>4</v>
      </c>
      <c r="I12" s="6">
        <v>0.65</v>
      </c>
      <c r="J12" s="6">
        <v>36.299999999999997</v>
      </c>
      <c r="K12" s="6">
        <v>34.9</v>
      </c>
      <c r="L12" s="6">
        <v>26.6</v>
      </c>
      <c r="M12" s="17">
        <f t="shared" si="0"/>
        <v>32.599999999999994</v>
      </c>
      <c r="N12" s="24">
        <v>15</v>
      </c>
    </row>
    <row r="13" spans="1:14" x14ac:dyDescent="0.3">
      <c r="A13" s="11" t="s">
        <v>17</v>
      </c>
      <c r="B13" s="11" t="s">
        <v>17</v>
      </c>
      <c r="C13" s="11" t="s">
        <v>17</v>
      </c>
      <c r="D13" s="11" t="s">
        <v>17</v>
      </c>
      <c r="E13" s="11" t="s">
        <v>17</v>
      </c>
      <c r="F13" s="11" t="s">
        <v>17</v>
      </c>
      <c r="G13" s="11" t="s">
        <v>17</v>
      </c>
      <c r="H13" s="11" t="s">
        <v>17</v>
      </c>
      <c r="I13" s="11" t="s">
        <v>17</v>
      </c>
      <c r="J13" s="11" t="s">
        <v>17</v>
      </c>
      <c r="K13" s="11" t="s">
        <v>17</v>
      </c>
      <c r="L13" s="11" t="s">
        <v>17</v>
      </c>
      <c r="M13" s="11" t="s">
        <v>17</v>
      </c>
      <c r="N13" s="11" t="s">
        <v>17</v>
      </c>
    </row>
    <row r="14" spans="1:14" x14ac:dyDescent="0.3">
      <c r="A14" s="5">
        <v>5</v>
      </c>
      <c r="B14" s="5">
        <v>1</v>
      </c>
      <c r="C14" s="6">
        <v>2</v>
      </c>
      <c r="D14" s="6">
        <v>6.5</v>
      </c>
      <c r="E14" s="6">
        <v>6.5</v>
      </c>
      <c r="F14" s="6">
        <v>77</v>
      </c>
      <c r="G14" s="6">
        <v>2</v>
      </c>
      <c r="H14" s="6">
        <v>5</v>
      </c>
      <c r="I14" s="6">
        <v>0.6</v>
      </c>
      <c r="J14" s="6">
        <v>33.1</v>
      </c>
      <c r="K14" s="6">
        <v>34.799999999999997</v>
      </c>
      <c r="L14" s="7">
        <v>43</v>
      </c>
      <c r="M14" s="17">
        <f t="shared" si="0"/>
        <v>36.966666666666669</v>
      </c>
      <c r="N14" s="24">
        <v>0</v>
      </c>
    </row>
    <row r="15" spans="1:14" x14ac:dyDescent="0.3">
      <c r="A15" s="5">
        <v>6</v>
      </c>
      <c r="B15" s="5">
        <v>1</v>
      </c>
      <c r="C15" s="6">
        <v>10</v>
      </c>
      <c r="D15" s="6">
        <v>6</v>
      </c>
      <c r="E15" s="6">
        <v>6</v>
      </c>
      <c r="F15" s="6">
        <v>75</v>
      </c>
      <c r="G15" s="6">
        <v>2</v>
      </c>
      <c r="H15" s="6">
        <v>9</v>
      </c>
      <c r="I15" s="6">
        <v>0.65</v>
      </c>
      <c r="J15" s="6">
        <v>43.6</v>
      </c>
      <c r="K15" s="6">
        <v>22.6</v>
      </c>
      <c r="L15" s="6">
        <v>33.5</v>
      </c>
      <c r="M15" s="17">
        <f t="shared" si="0"/>
        <v>33.233333333333334</v>
      </c>
      <c r="N15" s="24">
        <v>30</v>
      </c>
    </row>
    <row r="16" spans="1:14" x14ac:dyDescent="0.3">
      <c r="A16" s="5">
        <v>7</v>
      </c>
      <c r="B16" s="5">
        <v>1</v>
      </c>
      <c r="C16" s="6">
        <v>4</v>
      </c>
      <c r="D16" s="6">
        <v>4</v>
      </c>
      <c r="E16" s="6">
        <v>5</v>
      </c>
      <c r="F16" s="6">
        <v>66</v>
      </c>
      <c r="G16" s="6">
        <v>3</v>
      </c>
      <c r="H16" s="6">
        <v>28</v>
      </c>
      <c r="I16" s="6">
        <v>0.62</v>
      </c>
      <c r="J16" s="7">
        <v>27.1</v>
      </c>
      <c r="K16" s="6">
        <v>32.700000000000003</v>
      </c>
      <c r="L16" s="6">
        <v>36.1</v>
      </c>
      <c r="M16" s="17">
        <f t="shared" si="0"/>
        <v>31.966666666666669</v>
      </c>
      <c r="N16" s="24">
        <v>15</v>
      </c>
    </row>
    <row r="17" spans="1:14" x14ac:dyDescent="0.3">
      <c r="A17" s="5">
        <v>8</v>
      </c>
      <c r="B17" s="5">
        <v>1</v>
      </c>
      <c r="C17" s="6">
        <v>5</v>
      </c>
      <c r="D17" s="6">
        <v>6.5</v>
      </c>
      <c r="E17" s="6">
        <v>7</v>
      </c>
      <c r="F17" s="6">
        <v>84</v>
      </c>
      <c r="G17" s="6">
        <v>2</v>
      </c>
      <c r="H17" s="6">
        <v>4</v>
      </c>
      <c r="I17" s="6">
        <v>0.75</v>
      </c>
      <c r="J17" s="6">
        <v>40.700000000000003</v>
      </c>
      <c r="K17" s="6">
        <v>36.799999999999997</v>
      </c>
      <c r="L17" s="6">
        <v>39.799999999999997</v>
      </c>
      <c r="M17" s="17">
        <f t="shared" si="0"/>
        <v>39.1</v>
      </c>
      <c r="N17" s="24">
        <v>39</v>
      </c>
    </row>
    <row r="18" spans="1:14" x14ac:dyDescent="0.3">
      <c r="A18" s="5">
        <v>9</v>
      </c>
      <c r="B18" s="5">
        <v>1</v>
      </c>
      <c r="C18" s="6">
        <v>11</v>
      </c>
      <c r="D18" s="6">
        <v>5.5</v>
      </c>
      <c r="E18" s="6">
        <v>6</v>
      </c>
      <c r="F18" s="6">
        <v>81</v>
      </c>
      <c r="G18" s="6">
        <v>2</v>
      </c>
      <c r="H18" s="6">
        <v>12</v>
      </c>
      <c r="I18" s="6">
        <v>0.61</v>
      </c>
      <c r="J18" s="6">
        <v>37.799999999999997</v>
      </c>
      <c r="K18" s="6">
        <v>39.799999999999997</v>
      </c>
      <c r="L18" s="6">
        <v>39.4</v>
      </c>
      <c r="M18" s="17">
        <f t="shared" si="0"/>
        <v>39</v>
      </c>
      <c r="N18" s="24">
        <v>11</v>
      </c>
    </row>
    <row r="19" spans="1:14" x14ac:dyDescent="0.3">
      <c r="A19" s="5">
        <v>10</v>
      </c>
      <c r="B19" s="5">
        <v>1</v>
      </c>
      <c r="C19" s="6">
        <v>1</v>
      </c>
      <c r="D19" s="6">
        <v>5.5</v>
      </c>
      <c r="E19" s="6">
        <v>6</v>
      </c>
      <c r="F19" s="6">
        <v>82</v>
      </c>
      <c r="G19" s="6">
        <v>2</v>
      </c>
      <c r="H19" s="6">
        <v>15</v>
      </c>
      <c r="I19" s="6">
        <v>0.7</v>
      </c>
      <c r="J19" s="6">
        <v>26.1</v>
      </c>
      <c r="K19" s="6">
        <v>27</v>
      </c>
      <c r="L19" s="6">
        <v>28.4</v>
      </c>
      <c r="M19" s="17">
        <f t="shared" si="0"/>
        <v>27.166666666666668</v>
      </c>
      <c r="N19" s="24">
        <v>28</v>
      </c>
    </row>
    <row r="20" spans="1:14" x14ac:dyDescent="0.3">
      <c r="A20" s="5">
        <v>11</v>
      </c>
      <c r="B20" s="5">
        <v>1</v>
      </c>
      <c r="C20" s="6">
        <v>6</v>
      </c>
      <c r="D20" s="6">
        <v>5.5</v>
      </c>
      <c r="E20" s="6">
        <v>5.5</v>
      </c>
      <c r="F20" s="6">
        <v>75</v>
      </c>
      <c r="G20" s="6">
        <v>2</v>
      </c>
      <c r="H20" s="6">
        <v>19</v>
      </c>
      <c r="I20" s="6">
        <v>0.56999999999999995</v>
      </c>
      <c r="J20" s="6">
        <v>26.1</v>
      </c>
      <c r="K20" s="6">
        <v>32.799999999999997</v>
      </c>
      <c r="L20" s="6">
        <v>43.7</v>
      </c>
      <c r="M20" s="17">
        <f t="shared" si="0"/>
        <v>34.199999999999996</v>
      </c>
      <c r="N20" s="24">
        <v>9</v>
      </c>
    </row>
    <row r="21" spans="1:14" x14ac:dyDescent="0.3">
      <c r="A21" s="8">
        <v>12</v>
      </c>
      <c r="B21" s="8">
        <v>2</v>
      </c>
      <c r="C21" s="9">
        <v>1</v>
      </c>
      <c r="D21" s="9">
        <v>5.5</v>
      </c>
      <c r="E21" s="9">
        <v>6</v>
      </c>
      <c r="F21" s="9">
        <v>76</v>
      </c>
      <c r="G21" s="9">
        <v>2</v>
      </c>
      <c r="H21" s="9">
        <v>9</v>
      </c>
      <c r="I21" s="9">
        <v>0.72</v>
      </c>
      <c r="J21" s="9">
        <v>39.799999999999997</v>
      </c>
      <c r="K21" s="9">
        <v>35.799999999999997</v>
      </c>
      <c r="L21" s="9">
        <v>28.5</v>
      </c>
      <c r="M21" s="19">
        <f>AVERAGE(J21, K21, L21)</f>
        <v>34.699999999999996</v>
      </c>
      <c r="N21" s="25">
        <v>27</v>
      </c>
    </row>
    <row r="22" spans="1:14" x14ac:dyDescent="0.3">
      <c r="A22" s="8">
        <v>13</v>
      </c>
      <c r="B22" s="8">
        <v>2</v>
      </c>
      <c r="C22" s="9">
        <v>6</v>
      </c>
      <c r="D22" s="9">
        <v>6</v>
      </c>
      <c r="E22" s="9">
        <v>6</v>
      </c>
      <c r="F22" s="9">
        <v>77</v>
      </c>
      <c r="G22" s="9">
        <v>2</v>
      </c>
      <c r="H22" s="9">
        <v>14</v>
      </c>
      <c r="I22" s="9">
        <v>0.71</v>
      </c>
      <c r="J22" s="10">
        <v>30.2</v>
      </c>
      <c r="K22" s="9">
        <v>39.9</v>
      </c>
      <c r="L22" s="9">
        <v>47.8</v>
      </c>
      <c r="M22" s="19">
        <f t="shared" ref="M22:M56" si="1">AVERAGE(J22, K22, L22)</f>
        <v>39.299999999999997</v>
      </c>
      <c r="N22" s="25">
        <v>22</v>
      </c>
    </row>
    <row r="23" spans="1:14" x14ac:dyDescent="0.3">
      <c r="A23" s="11" t="s">
        <v>17</v>
      </c>
      <c r="B23" s="11" t="s">
        <v>17</v>
      </c>
      <c r="C23" s="11" t="s">
        <v>17</v>
      </c>
      <c r="D23" s="11" t="s">
        <v>17</v>
      </c>
      <c r="E23" s="11" t="s">
        <v>17</v>
      </c>
      <c r="F23" s="11" t="s">
        <v>17</v>
      </c>
      <c r="G23" s="11" t="s">
        <v>17</v>
      </c>
      <c r="H23" s="11" t="s">
        <v>17</v>
      </c>
      <c r="I23" s="11" t="s">
        <v>17</v>
      </c>
      <c r="J23" s="11" t="s">
        <v>17</v>
      </c>
      <c r="K23" s="11" t="s">
        <v>17</v>
      </c>
      <c r="L23" s="11" t="s">
        <v>17</v>
      </c>
      <c r="M23" s="11" t="s">
        <v>17</v>
      </c>
      <c r="N23" s="11" t="s">
        <v>17</v>
      </c>
    </row>
    <row r="24" spans="1:14" x14ac:dyDescent="0.3">
      <c r="A24" s="8">
        <v>14</v>
      </c>
      <c r="B24" s="8">
        <v>2</v>
      </c>
      <c r="C24" s="9">
        <v>10</v>
      </c>
      <c r="D24" s="9">
        <v>4</v>
      </c>
      <c r="E24" s="9">
        <v>4.5</v>
      </c>
      <c r="F24" s="9">
        <v>55</v>
      </c>
      <c r="G24" s="9">
        <v>3</v>
      </c>
      <c r="H24" s="9">
        <v>30</v>
      </c>
      <c r="I24" s="9">
        <v>0.59</v>
      </c>
      <c r="J24" s="9">
        <v>30.6</v>
      </c>
      <c r="K24" s="9">
        <v>30.6</v>
      </c>
      <c r="L24" s="9">
        <v>31.1</v>
      </c>
      <c r="M24" s="19">
        <f t="shared" si="1"/>
        <v>30.766666666666669</v>
      </c>
      <c r="N24" s="25">
        <v>4</v>
      </c>
    </row>
    <row r="25" spans="1:14" x14ac:dyDescent="0.3">
      <c r="A25" s="8">
        <v>15</v>
      </c>
      <c r="B25" s="8">
        <v>2</v>
      </c>
      <c r="C25" s="9">
        <v>3</v>
      </c>
      <c r="D25" s="9">
        <v>5</v>
      </c>
      <c r="E25" s="9">
        <v>5.5</v>
      </c>
      <c r="F25" s="9">
        <v>76</v>
      </c>
      <c r="G25" s="9">
        <v>2</v>
      </c>
      <c r="H25" s="9">
        <v>11</v>
      </c>
      <c r="I25" s="10">
        <v>0.76</v>
      </c>
      <c r="J25" s="9">
        <v>46.5</v>
      </c>
      <c r="K25" s="9">
        <v>35.6</v>
      </c>
      <c r="L25" s="9">
        <v>43.5</v>
      </c>
      <c r="M25" s="19">
        <f t="shared" si="1"/>
        <v>41.866666666666667</v>
      </c>
      <c r="N25" s="25">
        <v>13</v>
      </c>
    </row>
    <row r="26" spans="1:14" x14ac:dyDescent="0.3">
      <c r="A26" s="8">
        <v>16</v>
      </c>
      <c r="B26" s="8">
        <v>2</v>
      </c>
      <c r="C26" s="9">
        <v>4</v>
      </c>
      <c r="D26" s="9">
        <v>4.5</v>
      </c>
      <c r="E26" s="9">
        <v>4.5</v>
      </c>
      <c r="F26" s="9">
        <v>66</v>
      </c>
      <c r="G26" s="9">
        <v>3</v>
      </c>
      <c r="H26" s="9">
        <v>39</v>
      </c>
      <c r="I26" s="9">
        <v>0.56000000000000005</v>
      </c>
      <c r="J26" s="9">
        <v>27.3</v>
      </c>
      <c r="K26" s="9">
        <v>27.2</v>
      </c>
      <c r="L26" s="9">
        <v>28.4</v>
      </c>
      <c r="M26" s="19">
        <f t="shared" si="1"/>
        <v>27.633333333333336</v>
      </c>
      <c r="N26" s="25">
        <v>0</v>
      </c>
    </row>
    <row r="27" spans="1:14" x14ac:dyDescent="0.3">
      <c r="A27" s="8">
        <v>17</v>
      </c>
      <c r="B27" s="8">
        <v>2</v>
      </c>
      <c r="C27" s="9">
        <v>2</v>
      </c>
      <c r="D27" s="9">
        <v>5.5</v>
      </c>
      <c r="E27" s="9">
        <v>5.5</v>
      </c>
      <c r="F27" s="9">
        <v>77</v>
      </c>
      <c r="G27" s="9">
        <v>3</v>
      </c>
      <c r="H27" s="9">
        <v>23</v>
      </c>
      <c r="I27" s="9">
        <v>0.69</v>
      </c>
      <c r="J27" s="9">
        <v>34.4</v>
      </c>
      <c r="K27" s="9">
        <v>25.9</v>
      </c>
      <c r="L27" s="9">
        <v>24.6</v>
      </c>
      <c r="M27" s="19">
        <f t="shared" si="1"/>
        <v>28.3</v>
      </c>
      <c r="N27" s="25">
        <v>9</v>
      </c>
    </row>
    <row r="28" spans="1:14" x14ac:dyDescent="0.3">
      <c r="A28" s="8">
        <v>18</v>
      </c>
      <c r="B28" s="8">
        <v>2</v>
      </c>
      <c r="C28" s="9">
        <v>11</v>
      </c>
      <c r="D28" s="9">
        <v>6.5</v>
      </c>
      <c r="E28" s="9">
        <v>7</v>
      </c>
      <c r="F28" s="9">
        <v>85</v>
      </c>
      <c r="G28" s="9">
        <v>1</v>
      </c>
      <c r="H28" s="9">
        <v>0</v>
      </c>
      <c r="I28" s="9">
        <v>0.75</v>
      </c>
      <c r="J28" s="9">
        <v>43.6</v>
      </c>
      <c r="K28" s="9">
        <v>40.200000000000003</v>
      </c>
      <c r="L28" s="9">
        <v>41</v>
      </c>
      <c r="M28" s="19">
        <f t="shared" si="1"/>
        <v>41.6</v>
      </c>
      <c r="N28" s="25">
        <v>25</v>
      </c>
    </row>
    <row r="29" spans="1:14" x14ac:dyDescent="0.3">
      <c r="A29" s="8">
        <v>19</v>
      </c>
      <c r="B29" s="8">
        <v>2</v>
      </c>
      <c r="C29" s="9">
        <v>7</v>
      </c>
      <c r="D29" s="9">
        <v>4</v>
      </c>
      <c r="E29" s="9">
        <v>4</v>
      </c>
      <c r="F29" s="9">
        <v>75</v>
      </c>
      <c r="G29" s="9">
        <v>3</v>
      </c>
      <c r="H29" s="9">
        <v>25</v>
      </c>
      <c r="I29" s="9">
        <v>0.55000000000000004</v>
      </c>
      <c r="J29" s="9">
        <v>38.9</v>
      </c>
      <c r="K29" s="9">
        <v>39</v>
      </c>
      <c r="L29" s="9">
        <v>34.299999999999997</v>
      </c>
      <c r="M29" s="19">
        <f t="shared" si="1"/>
        <v>37.4</v>
      </c>
      <c r="N29" s="25">
        <v>19</v>
      </c>
    </row>
    <row r="30" spans="1:14" x14ac:dyDescent="0.3">
      <c r="A30" s="8">
        <v>20</v>
      </c>
      <c r="B30" s="8">
        <v>2</v>
      </c>
      <c r="C30" s="9">
        <v>9</v>
      </c>
      <c r="D30" s="10">
        <v>3.5</v>
      </c>
      <c r="E30" s="9">
        <v>3.5</v>
      </c>
      <c r="F30" s="9">
        <v>62</v>
      </c>
      <c r="G30" s="9">
        <v>3</v>
      </c>
      <c r="H30" s="9">
        <v>34</v>
      </c>
      <c r="I30" s="9">
        <v>0.53</v>
      </c>
      <c r="J30" s="9">
        <v>37.6</v>
      </c>
      <c r="K30" s="9">
        <v>38.799999999999997</v>
      </c>
      <c r="L30" s="9">
        <v>34.299999999999997</v>
      </c>
      <c r="M30" s="19">
        <f t="shared" si="1"/>
        <v>36.9</v>
      </c>
      <c r="N30" s="25">
        <v>10</v>
      </c>
    </row>
    <row r="31" spans="1:14" x14ac:dyDescent="0.3">
      <c r="A31" s="8">
        <v>21</v>
      </c>
      <c r="B31" s="8">
        <v>2</v>
      </c>
      <c r="C31" s="9">
        <v>5</v>
      </c>
      <c r="D31" s="9">
        <v>5</v>
      </c>
      <c r="E31" s="9">
        <v>5.5</v>
      </c>
      <c r="F31" s="9">
        <v>75</v>
      </c>
      <c r="G31" s="9">
        <v>2</v>
      </c>
      <c r="H31" s="9">
        <v>20</v>
      </c>
      <c r="I31" s="9">
        <v>0.69</v>
      </c>
      <c r="J31" s="9">
        <v>36.1</v>
      </c>
      <c r="K31" s="9">
        <v>38.200000000000003</v>
      </c>
      <c r="L31" s="10">
        <v>42.9</v>
      </c>
      <c r="M31" s="19">
        <f t="shared" si="1"/>
        <v>39.06666666666667</v>
      </c>
      <c r="N31" s="25">
        <v>13</v>
      </c>
    </row>
    <row r="32" spans="1:14" x14ac:dyDescent="0.3">
      <c r="A32" s="8">
        <v>22</v>
      </c>
      <c r="B32" s="8">
        <v>2</v>
      </c>
      <c r="C32" s="9">
        <v>8</v>
      </c>
      <c r="D32" s="9">
        <v>4</v>
      </c>
      <c r="E32" s="9">
        <v>4.5</v>
      </c>
      <c r="F32" s="9">
        <v>57</v>
      </c>
      <c r="G32" s="9">
        <v>3</v>
      </c>
      <c r="H32" s="9">
        <v>39</v>
      </c>
      <c r="I32" s="9">
        <v>0.55000000000000004</v>
      </c>
      <c r="J32" s="9">
        <v>28.3</v>
      </c>
      <c r="K32" s="9">
        <v>32.799999999999997</v>
      </c>
      <c r="L32" s="9">
        <v>28.7</v>
      </c>
      <c r="M32" s="19">
        <f t="shared" si="1"/>
        <v>29.933333333333334</v>
      </c>
      <c r="N32" s="25">
        <v>8</v>
      </c>
    </row>
    <row r="33" spans="1:14" x14ac:dyDescent="0.3">
      <c r="A33" s="5">
        <v>23</v>
      </c>
      <c r="B33" s="6">
        <v>3</v>
      </c>
      <c r="C33" s="6">
        <v>4</v>
      </c>
      <c r="D33" s="6">
        <v>4</v>
      </c>
      <c r="E33" s="6">
        <v>4</v>
      </c>
      <c r="F33" s="6">
        <v>66</v>
      </c>
      <c r="G33" s="6">
        <v>3</v>
      </c>
      <c r="H33" s="6">
        <v>28</v>
      </c>
      <c r="I33" s="7">
        <v>0.56000000000000005</v>
      </c>
      <c r="J33" s="6">
        <v>36.299999999999997</v>
      </c>
      <c r="K33" s="6">
        <v>34.4</v>
      </c>
      <c r="L33" s="6">
        <v>35.799999999999997</v>
      </c>
      <c r="M33" s="17">
        <f t="shared" si="1"/>
        <v>35.499999999999993</v>
      </c>
      <c r="N33" s="24">
        <v>0</v>
      </c>
    </row>
    <row r="34" spans="1:14" x14ac:dyDescent="0.3">
      <c r="A34" s="5">
        <v>24</v>
      </c>
      <c r="B34" s="6">
        <v>3</v>
      </c>
      <c r="C34" s="6">
        <v>1</v>
      </c>
      <c r="D34" s="6">
        <v>4</v>
      </c>
      <c r="E34" s="6">
        <v>4.5</v>
      </c>
      <c r="F34" s="6">
        <v>67</v>
      </c>
      <c r="G34" s="6">
        <v>3</v>
      </c>
      <c r="H34" s="6">
        <v>30</v>
      </c>
      <c r="I34" s="7">
        <v>0.55000000000000004</v>
      </c>
      <c r="J34" s="6">
        <v>20.9</v>
      </c>
      <c r="K34" s="6">
        <v>24.8</v>
      </c>
      <c r="L34" s="6">
        <v>22.2</v>
      </c>
      <c r="M34" s="17">
        <f t="shared" si="1"/>
        <v>22.633333333333336</v>
      </c>
      <c r="N34" s="24">
        <v>13</v>
      </c>
    </row>
    <row r="35" spans="1:14" x14ac:dyDescent="0.3">
      <c r="A35" s="5">
        <v>25</v>
      </c>
      <c r="B35" s="6">
        <v>3</v>
      </c>
      <c r="C35" s="6">
        <v>9</v>
      </c>
      <c r="D35" s="6">
        <v>5</v>
      </c>
      <c r="E35" s="6">
        <v>5</v>
      </c>
      <c r="F35" s="6">
        <v>72</v>
      </c>
      <c r="G35" s="6">
        <v>2</v>
      </c>
      <c r="H35" s="6">
        <v>7</v>
      </c>
      <c r="I35" s="6">
        <v>0.61</v>
      </c>
      <c r="J35" s="6">
        <v>40.1</v>
      </c>
      <c r="K35" s="6">
        <v>34.9</v>
      </c>
      <c r="L35" s="6">
        <v>36.700000000000003</v>
      </c>
      <c r="M35" s="17">
        <f t="shared" si="1"/>
        <v>37.233333333333334</v>
      </c>
      <c r="N35" s="24">
        <v>6</v>
      </c>
    </row>
    <row r="36" spans="1:14" x14ac:dyDescent="0.3">
      <c r="A36" s="5">
        <v>26</v>
      </c>
      <c r="B36" s="6">
        <v>3</v>
      </c>
      <c r="C36" s="6">
        <v>2</v>
      </c>
      <c r="D36" s="6">
        <v>4.5</v>
      </c>
      <c r="E36" s="6">
        <v>4.5</v>
      </c>
      <c r="F36" s="6">
        <v>63</v>
      </c>
      <c r="G36" s="6">
        <v>3</v>
      </c>
      <c r="H36" s="6">
        <v>40</v>
      </c>
      <c r="I36" s="6">
        <v>0.53</v>
      </c>
      <c r="J36" s="6">
        <v>32.1</v>
      </c>
      <c r="K36" s="6">
        <v>27.2</v>
      </c>
      <c r="L36" s="6">
        <v>31.1</v>
      </c>
      <c r="M36" s="17">
        <f t="shared" si="1"/>
        <v>30.133333333333336</v>
      </c>
      <c r="N36" s="24">
        <v>4</v>
      </c>
    </row>
    <row r="37" spans="1:14" x14ac:dyDescent="0.3">
      <c r="A37" s="5">
        <v>27</v>
      </c>
      <c r="B37" s="6">
        <v>3</v>
      </c>
      <c r="C37" s="6">
        <v>6</v>
      </c>
      <c r="D37" s="6">
        <v>4.5</v>
      </c>
      <c r="E37" s="6">
        <v>5.5</v>
      </c>
      <c r="F37" s="6">
        <v>72</v>
      </c>
      <c r="G37" s="6">
        <v>3</v>
      </c>
      <c r="H37" s="6">
        <v>26</v>
      </c>
      <c r="I37" s="6">
        <v>0.66</v>
      </c>
      <c r="J37" s="6">
        <v>20.9</v>
      </c>
      <c r="K37" s="6">
        <v>29.8</v>
      </c>
      <c r="L37" s="6">
        <v>26.9</v>
      </c>
      <c r="M37" s="17">
        <f t="shared" si="1"/>
        <v>25.866666666666664</v>
      </c>
      <c r="N37" s="24">
        <v>10</v>
      </c>
    </row>
    <row r="38" spans="1:14" x14ac:dyDescent="0.3">
      <c r="A38" s="5">
        <v>28</v>
      </c>
      <c r="B38" s="6">
        <v>3</v>
      </c>
      <c r="C38" s="6">
        <v>11</v>
      </c>
      <c r="D38" s="6">
        <v>6</v>
      </c>
      <c r="E38" s="6">
        <v>6.5</v>
      </c>
      <c r="F38" s="6">
        <v>81</v>
      </c>
      <c r="G38" s="6">
        <v>2</v>
      </c>
      <c r="H38" s="6">
        <v>6</v>
      </c>
      <c r="I38" s="6">
        <v>0.72</v>
      </c>
      <c r="J38" s="6">
        <v>45.8</v>
      </c>
      <c r="K38" s="6">
        <v>37.200000000000003</v>
      </c>
      <c r="L38" s="6">
        <v>35.6</v>
      </c>
      <c r="M38" s="17">
        <f t="shared" si="1"/>
        <v>39.533333333333331</v>
      </c>
      <c r="N38" s="24">
        <v>33</v>
      </c>
    </row>
    <row r="39" spans="1:14" x14ac:dyDescent="0.3">
      <c r="A39" s="5">
        <v>29</v>
      </c>
      <c r="B39" s="6">
        <v>3</v>
      </c>
      <c r="C39" s="6">
        <v>5</v>
      </c>
      <c r="D39" s="6">
        <v>6</v>
      </c>
      <c r="E39" s="6">
        <v>6</v>
      </c>
      <c r="F39" s="6">
        <v>82</v>
      </c>
      <c r="G39" s="6">
        <v>2</v>
      </c>
      <c r="H39" s="6">
        <v>5</v>
      </c>
      <c r="I39" s="7">
        <v>0.7</v>
      </c>
      <c r="J39" s="6">
        <v>40.799999999999997</v>
      </c>
      <c r="K39" s="6">
        <v>33.700000000000003</v>
      </c>
      <c r="L39" s="6">
        <v>42.3</v>
      </c>
      <c r="M39" s="17">
        <f t="shared" si="1"/>
        <v>38.93333333333333</v>
      </c>
      <c r="N39" s="24">
        <v>38</v>
      </c>
    </row>
    <row r="40" spans="1:14" x14ac:dyDescent="0.3">
      <c r="A40" s="11" t="s">
        <v>17</v>
      </c>
      <c r="B40" s="11" t="s">
        <v>17</v>
      </c>
      <c r="C40" s="11" t="s">
        <v>17</v>
      </c>
      <c r="D40" s="11" t="s">
        <v>17</v>
      </c>
      <c r="E40" s="11" t="s">
        <v>17</v>
      </c>
      <c r="F40" s="11" t="s">
        <v>17</v>
      </c>
      <c r="G40" s="11" t="s">
        <v>17</v>
      </c>
      <c r="H40" s="11" t="s">
        <v>17</v>
      </c>
      <c r="I40" s="11" t="s">
        <v>17</v>
      </c>
      <c r="J40" s="11" t="s">
        <v>17</v>
      </c>
      <c r="K40" s="11" t="s">
        <v>17</v>
      </c>
      <c r="L40" s="11" t="s">
        <v>17</v>
      </c>
      <c r="M40" s="11" t="s">
        <v>17</v>
      </c>
      <c r="N40" s="11" t="s">
        <v>17</v>
      </c>
    </row>
    <row r="41" spans="1:14" x14ac:dyDescent="0.3">
      <c r="A41" s="5">
        <v>30</v>
      </c>
      <c r="B41" s="6">
        <v>3</v>
      </c>
      <c r="C41" s="6">
        <v>8</v>
      </c>
      <c r="D41" s="6">
        <v>4.5</v>
      </c>
      <c r="E41" s="6">
        <v>4.5</v>
      </c>
      <c r="F41" s="6">
        <v>76</v>
      </c>
      <c r="G41" s="6">
        <v>3</v>
      </c>
      <c r="H41" s="6">
        <v>24</v>
      </c>
      <c r="I41" s="6">
        <v>0.59</v>
      </c>
      <c r="J41" s="6">
        <v>42.4</v>
      </c>
      <c r="K41" s="6">
        <v>26.9</v>
      </c>
      <c r="L41" s="6">
        <v>22.6</v>
      </c>
      <c r="M41" s="17">
        <f t="shared" si="1"/>
        <v>30.633333333333336</v>
      </c>
      <c r="N41" s="24">
        <v>12</v>
      </c>
    </row>
    <row r="42" spans="1:14" x14ac:dyDescent="0.3">
      <c r="A42" s="5">
        <v>31</v>
      </c>
      <c r="B42" s="6">
        <v>3</v>
      </c>
      <c r="C42" s="6">
        <v>3</v>
      </c>
      <c r="D42" s="6">
        <v>6</v>
      </c>
      <c r="E42" s="6">
        <v>6</v>
      </c>
      <c r="F42" s="6">
        <v>81</v>
      </c>
      <c r="G42" s="6">
        <v>2</v>
      </c>
      <c r="H42" s="6">
        <v>10</v>
      </c>
      <c r="I42" s="6">
        <v>0.7</v>
      </c>
      <c r="J42" s="6">
        <v>44.8</v>
      </c>
      <c r="K42" s="6">
        <v>40.299999999999997</v>
      </c>
      <c r="L42" s="7">
        <v>38.700000000000003</v>
      </c>
      <c r="M42" s="17">
        <f t="shared" si="1"/>
        <v>41.266666666666666</v>
      </c>
      <c r="N42" s="24">
        <v>12</v>
      </c>
    </row>
    <row r="43" spans="1:14" x14ac:dyDescent="0.3">
      <c r="A43" s="5">
        <v>32</v>
      </c>
      <c r="B43" s="6">
        <v>3</v>
      </c>
      <c r="C43" s="6">
        <v>7</v>
      </c>
      <c r="D43" s="6">
        <v>6</v>
      </c>
      <c r="E43" s="6">
        <v>6</v>
      </c>
      <c r="F43" s="6">
        <v>81</v>
      </c>
      <c r="G43" s="6">
        <v>2</v>
      </c>
      <c r="H43" s="6">
        <v>5</v>
      </c>
      <c r="I43" s="6">
        <v>0.75</v>
      </c>
      <c r="J43" s="6">
        <v>35.6</v>
      </c>
      <c r="K43" s="6">
        <v>36.6</v>
      </c>
      <c r="L43" s="6">
        <v>41.1</v>
      </c>
      <c r="M43" s="17">
        <f t="shared" si="1"/>
        <v>37.766666666666673</v>
      </c>
      <c r="N43" s="24">
        <v>19</v>
      </c>
    </row>
    <row r="44" spans="1:14" x14ac:dyDescent="0.3">
      <c r="A44" s="5">
        <v>33</v>
      </c>
      <c r="B44" s="6">
        <v>3</v>
      </c>
      <c r="C44" s="6">
        <v>10</v>
      </c>
      <c r="D44" s="6">
        <v>6</v>
      </c>
      <c r="E44" s="6">
        <v>6</v>
      </c>
      <c r="F44" s="6">
        <v>84</v>
      </c>
      <c r="G44" s="6">
        <v>2</v>
      </c>
      <c r="H44" s="6">
        <v>5</v>
      </c>
      <c r="I44" s="6">
        <v>0.78</v>
      </c>
      <c r="J44" s="6">
        <v>29.9</v>
      </c>
      <c r="K44" s="6">
        <v>31.9</v>
      </c>
      <c r="L44" s="6">
        <v>23.8</v>
      </c>
      <c r="M44" s="17">
        <f t="shared" si="1"/>
        <v>28.533333333333331</v>
      </c>
      <c r="N44" s="24">
        <v>46</v>
      </c>
    </row>
    <row r="45" spans="1:14" x14ac:dyDescent="0.3">
      <c r="A45" s="8">
        <v>34</v>
      </c>
      <c r="B45" s="9">
        <v>4</v>
      </c>
      <c r="C45" s="9">
        <v>7</v>
      </c>
      <c r="D45" s="10">
        <v>6</v>
      </c>
      <c r="E45" s="9">
        <v>5.5</v>
      </c>
      <c r="F45" s="9">
        <v>84</v>
      </c>
      <c r="G45" s="9">
        <v>2</v>
      </c>
      <c r="H45" s="9">
        <v>6</v>
      </c>
      <c r="I45" s="10">
        <v>0.66</v>
      </c>
      <c r="J45" s="9">
        <v>46.6</v>
      </c>
      <c r="K45" s="9">
        <v>45.8</v>
      </c>
      <c r="L45" s="9">
        <v>42.3</v>
      </c>
      <c r="M45" s="19">
        <f t="shared" si="1"/>
        <v>44.9</v>
      </c>
      <c r="N45" s="25">
        <v>30</v>
      </c>
    </row>
    <row r="46" spans="1:14" x14ac:dyDescent="0.3">
      <c r="A46" s="8">
        <v>35</v>
      </c>
      <c r="B46" s="9">
        <v>4</v>
      </c>
      <c r="C46" s="9">
        <v>8</v>
      </c>
      <c r="D46" s="9">
        <v>5.5</v>
      </c>
      <c r="E46" s="9">
        <v>5.5</v>
      </c>
      <c r="F46" s="9">
        <v>75</v>
      </c>
      <c r="G46" s="9">
        <v>2</v>
      </c>
      <c r="H46" s="9">
        <v>16</v>
      </c>
      <c r="I46" s="9">
        <v>0.64</v>
      </c>
      <c r="J46" s="9">
        <v>40.799999999999997</v>
      </c>
      <c r="K46" s="9">
        <v>38.200000000000003</v>
      </c>
      <c r="L46" s="9">
        <v>36.6</v>
      </c>
      <c r="M46" s="19">
        <f t="shared" si="1"/>
        <v>38.533333333333331</v>
      </c>
      <c r="N46" s="25">
        <v>11</v>
      </c>
    </row>
    <row r="47" spans="1:14" x14ac:dyDescent="0.3">
      <c r="A47" s="8">
        <v>36</v>
      </c>
      <c r="B47" s="9">
        <v>4</v>
      </c>
      <c r="C47" s="9">
        <v>11</v>
      </c>
      <c r="D47" s="9">
        <v>6.5</v>
      </c>
      <c r="E47" s="9">
        <v>6.5</v>
      </c>
      <c r="F47" s="9">
        <v>80</v>
      </c>
      <c r="G47" s="9">
        <v>2</v>
      </c>
      <c r="H47" s="9">
        <v>5</v>
      </c>
      <c r="I47" s="9">
        <v>0.72</v>
      </c>
      <c r="J47" s="9">
        <v>41.4</v>
      </c>
      <c r="K47" s="9">
        <v>41.6</v>
      </c>
      <c r="L47" s="9">
        <v>44.2</v>
      </c>
      <c r="M47" s="19">
        <f t="shared" si="1"/>
        <v>42.4</v>
      </c>
      <c r="N47" s="25">
        <v>17</v>
      </c>
    </row>
    <row r="48" spans="1:14" x14ac:dyDescent="0.3">
      <c r="A48" s="8">
        <v>37</v>
      </c>
      <c r="B48" s="9">
        <v>4</v>
      </c>
      <c r="C48" s="9">
        <v>5</v>
      </c>
      <c r="D48" s="9">
        <v>6</v>
      </c>
      <c r="E48" s="9">
        <v>6</v>
      </c>
      <c r="F48" s="9">
        <v>77</v>
      </c>
      <c r="G48" s="9">
        <v>2</v>
      </c>
      <c r="H48" s="9">
        <v>10</v>
      </c>
      <c r="I48" s="9">
        <v>0.61</v>
      </c>
      <c r="J48" s="9">
        <v>43.6</v>
      </c>
      <c r="K48" s="9">
        <v>43.2</v>
      </c>
      <c r="L48" s="9">
        <v>27.8</v>
      </c>
      <c r="M48" s="19">
        <f t="shared" si="1"/>
        <v>38.200000000000003</v>
      </c>
      <c r="N48" s="25">
        <v>0</v>
      </c>
    </row>
    <row r="49" spans="1:14" x14ac:dyDescent="0.3">
      <c r="A49" s="8">
        <v>38</v>
      </c>
      <c r="B49" s="9">
        <v>4</v>
      </c>
      <c r="C49" s="9">
        <v>9</v>
      </c>
      <c r="D49" s="9">
        <v>5.5</v>
      </c>
      <c r="E49" s="9">
        <v>6</v>
      </c>
      <c r="F49" s="9">
        <v>76</v>
      </c>
      <c r="G49" s="9">
        <v>2</v>
      </c>
      <c r="H49" s="9">
        <v>15</v>
      </c>
      <c r="I49" s="9">
        <v>0.65</v>
      </c>
      <c r="J49" s="9">
        <v>44.5</v>
      </c>
      <c r="K49" s="9">
        <v>44.2</v>
      </c>
      <c r="L49" s="9">
        <v>40.700000000000003</v>
      </c>
      <c r="M49" s="19">
        <f t="shared" si="1"/>
        <v>43.133333333333333</v>
      </c>
      <c r="N49" s="25">
        <v>13</v>
      </c>
    </row>
    <row r="50" spans="1:14" x14ac:dyDescent="0.3">
      <c r="A50" s="11" t="s">
        <v>17</v>
      </c>
      <c r="B50" s="11" t="s">
        <v>17</v>
      </c>
      <c r="C50" s="11" t="s">
        <v>17</v>
      </c>
      <c r="D50" s="11" t="s">
        <v>17</v>
      </c>
      <c r="E50" s="11" t="s">
        <v>17</v>
      </c>
      <c r="F50" s="11" t="s">
        <v>17</v>
      </c>
      <c r="G50" s="11" t="s">
        <v>17</v>
      </c>
      <c r="H50" s="11" t="s">
        <v>17</v>
      </c>
      <c r="I50" s="11" t="s">
        <v>17</v>
      </c>
      <c r="J50" s="11" t="s">
        <v>17</v>
      </c>
      <c r="K50" s="11" t="s">
        <v>17</v>
      </c>
      <c r="L50" s="11" t="s">
        <v>17</v>
      </c>
      <c r="M50" s="11" t="s">
        <v>17</v>
      </c>
      <c r="N50" s="11" t="s">
        <v>17</v>
      </c>
    </row>
    <row r="51" spans="1:14" x14ac:dyDescent="0.3">
      <c r="A51" s="8">
        <v>39</v>
      </c>
      <c r="B51" s="9">
        <v>4</v>
      </c>
      <c r="C51" s="9">
        <v>6</v>
      </c>
      <c r="D51" s="10">
        <v>6</v>
      </c>
      <c r="E51" s="9">
        <v>5.5</v>
      </c>
      <c r="F51" s="9">
        <v>80</v>
      </c>
      <c r="G51" s="9">
        <v>2</v>
      </c>
      <c r="H51" s="9">
        <v>16</v>
      </c>
      <c r="I51" s="9">
        <v>0.61</v>
      </c>
      <c r="J51" s="9">
        <v>29.1</v>
      </c>
      <c r="K51" s="9">
        <v>30.8</v>
      </c>
      <c r="L51" s="9">
        <v>36.9</v>
      </c>
      <c r="M51" s="19">
        <f t="shared" si="1"/>
        <v>32.266666666666673</v>
      </c>
      <c r="N51" s="25">
        <v>8</v>
      </c>
    </row>
    <row r="52" spans="1:14" x14ac:dyDescent="0.3">
      <c r="A52" s="8">
        <v>40</v>
      </c>
      <c r="B52" s="9">
        <v>4</v>
      </c>
      <c r="C52" s="9">
        <v>2</v>
      </c>
      <c r="D52" s="9">
        <v>5.5</v>
      </c>
      <c r="E52" s="10">
        <v>6</v>
      </c>
      <c r="F52" s="9">
        <v>80</v>
      </c>
      <c r="G52" s="9">
        <v>2</v>
      </c>
      <c r="H52" s="9">
        <v>7</v>
      </c>
      <c r="I52" s="9">
        <v>0.69</v>
      </c>
      <c r="J52" s="10">
        <v>37.299999999999997</v>
      </c>
      <c r="K52" s="10">
        <v>45.7</v>
      </c>
      <c r="L52" s="9">
        <v>43.7</v>
      </c>
      <c r="M52" s="19">
        <f t="shared" si="1"/>
        <v>42.233333333333334</v>
      </c>
      <c r="N52" s="25">
        <v>9</v>
      </c>
    </row>
    <row r="53" spans="1:14" x14ac:dyDescent="0.3">
      <c r="A53" s="8">
        <v>41</v>
      </c>
      <c r="B53" s="9">
        <v>4</v>
      </c>
      <c r="C53" s="9">
        <v>10</v>
      </c>
      <c r="D53" s="9">
        <v>6</v>
      </c>
      <c r="E53" s="9">
        <v>6</v>
      </c>
      <c r="F53" s="9">
        <v>79</v>
      </c>
      <c r="G53" s="9">
        <v>2</v>
      </c>
      <c r="H53" s="9">
        <v>12</v>
      </c>
      <c r="I53" s="9">
        <v>0.59</v>
      </c>
      <c r="J53" s="9">
        <v>41</v>
      </c>
      <c r="K53" s="9">
        <v>32.799999999999997</v>
      </c>
      <c r="L53" s="9">
        <v>30.3</v>
      </c>
      <c r="M53" s="19">
        <f t="shared" si="1"/>
        <v>34.699999999999996</v>
      </c>
      <c r="N53" s="25">
        <v>8</v>
      </c>
    </row>
    <row r="54" spans="1:14" x14ac:dyDescent="0.3">
      <c r="A54" s="8">
        <v>42</v>
      </c>
      <c r="B54" s="9">
        <v>4</v>
      </c>
      <c r="C54" s="9">
        <v>1</v>
      </c>
      <c r="D54" s="9">
        <v>3.5</v>
      </c>
      <c r="E54" s="9">
        <v>3.5</v>
      </c>
      <c r="F54" s="9">
        <v>58</v>
      </c>
      <c r="G54" s="9">
        <v>4</v>
      </c>
      <c r="H54" s="9">
        <v>52</v>
      </c>
      <c r="I54" s="9">
        <v>0.51</v>
      </c>
      <c r="J54" s="9">
        <v>39.700000000000003</v>
      </c>
      <c r="K54" s="9">
        <v>26.6</v>
      </c>
      <c r="L54" s="9">
        <v>28.1</v>
      </c>
      <c r="M54" s="19">
        <f t="shared" si="1"/>
        <v>31.466666666666669</v>
      </c>
      <c r="N54" s="25">
        <v>5</v>
      </c>
    </row>
    <row r="55" spans="1:14" x14ac:dyDescent="0.3">
      <c r="A55" s="8">
        <v>43</v>
      </c>
      <c r="B55" s="9">
        <v>4</v>
      </c>
      <c r="C55" s="9">
        <v>4</v>
      </c>
      <c r="D55" s="9">
        <v>5</v>
      </c>
      <c r="E55" s="9">
        <v>5</v>
      </c>
      <c r="F55" s="9">
        <v>77</v>
      </c>
      <c r="G55" s="9">
        <v>2</v>
      </c>
      <c r="H55" s="9">
        <v>12</v>
      </c>
      <c r="I55" s="9">
        <v>0.59</v>
      </c>
      <c r="J55" s="9">
        <v>26.2</v>
      </c>
      <c r="K55" s="9">
        <v>29.9</v>
      </c>
      <c r="L55" s="9">
        <v>23.9</v>
      </c>
      <c r="M55" s="19">
        <f t="shared" si="1"/>
        <v>26.666666666666668</v>
      </c>
      <c r="N55" s="25">
        <v>8</v>
      </c>
    </row>
    <row r="56" spans="1:14" x14ac:dyDescent="0.3">
      <c r="A56" s="8">
        <v>44</v>
      </c>
      <c r="B56" s="9">
        <v>4</v>
      </c>
      <c r="C56" s="9">
        <v>3</v>
      </c>
      <c r="D56" s="9">
        <v>7</v>
      </c>
      <c r="E56" s="9">
        <v>7</v>
      </c>
      <c r="F56" s="9">
        <v>87</v>
      </c>
      <c r="G56" s="9">
        <v>2</v>
      </c>
      <c r="H56" s="9">
        <v>3</v>
      </c>
      <c r="I56" s="9">
        <v>0.63</v>
      </c>
      <c r="J56" s="9">
        <v>45.4</v>
      </c>
      <c r="K56" s="9">
        <v>50</v>
      </c>
      <c r="L56" s="9">
        <v>39.299999999999997</v>
      </c>
      <c r="M56" s="19">
        <f t="shared" si="1"/>
        <v>44.9</v>
      </c>
      <c r="N56" s="25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M56"/>
  <sheetViews>
    <sheetView workbookViewId="0">
      <selection activeCell="Q12" sqref="Q12"/>
    </sheetView>
  </sheetViews>
  <sheetFormatPr defaultRowHeight="14.4" x14ac:dyDescent="0.3"/>
  <sheetData>
    <row r="1" spans="1:13" x14ac:dyDescent="0.3">
      <c r="A1" t="s">
        <v>7</v>
      </c>
      <c r="C1" t="s">
        <v>8</v>
      </c>
    </row>
    <row r="2" spans="1:13" x14ac:dyDescent="0.3">
      <c r="A2" s="1" t="s">
        <v>13</v>
      </c>
    </row>
    <row r="3" spans="1:13" x14ac:dyDescent="0.3">
      <c r="A3" s="1" t="s">
        <v>12</v>
      </c>
      <c r="B3" t="s">
        <v>24</v>
      </c>
    </row>
    <row r="4" spans="1:13" x14ac:dyDescent="0.3">
      <c r="A4" s="1" t="s">
        <v>11</v>
      </c>
    </row>
    <row r="5" spans="1:13" x14ac:dyDescent="0.3">
      <c r="A5" t="s">
        <v>6</v>
      </c>
    </row>
    <row r="6" spans="1:13" ht="15" thickBot="1" x14ac:dyDescent="0.35">
      <c r="A6" s="1" t="s">
        <v>0</v>
      </c>
    </row>
    <row r="7" spans="1:13" ht="15" thickBot="1" x14ac:dyDescent="0.35">
      <c r="A7" s="1"/>
      <c r="J7" s="12"/>
      <c r="K7" s="13" t="s">
        <v>9</v>
      </c>
      <c r="L7" s="14"/>
      <c r="M7" s="15"/>
    </row>
    <row r="8" spans="1:13" ht="15" thickBot="1" x14ac:dyDescent="0.35">
      <c r="A8" s="2" t="s">
        <v>1</v>
      </c>
      <c r="B8" s="3" t="s">
        <v>2</v>
      </c>
      <c r="C8" s="4" t="s">
        <v>3</v>
      </c>
      <c r="D8" s="2" t="s">
        <v>4</v>
      </c>
      <c r="E8" s="3" t="s">
        <v>5</v>
      </c>
      <c r="F8" s="3" t="s">
        <v>16</v>
      </c>
      <c r="G8" s="3" t="s">
        <v>14</v>
      </c>
      <c r="H8" s="3" t="s">
        <v>15</v>
      </c>
      <c r="I8" s="3" t="s">
        <v>10</v>
      </c>
      <c r="J8" s="16" t="s">
        <v>18</v>
      </c>
      <c r="K8" s="16" t="s">
        <v>19</v>
      </c>
      <c r="L8" s="16" t="s">
        <v>20</v>
      </c>
      <c r="M8" s="16" t="s">
        <v>21</v>
      </c>
    </row>
    <row r="9" spans="1:13" x14ac:dyDescent="0.3">
      <c r="A9" s="5">
        <v>1</v>
      </c>
      <c r="B9" s="5">
        <v>1</v>
      </c>
      <c r="C9" s="5">
        <v>8</v>
      </c>
      <c r="D9" s="6"/>
      <c r="E9" s="6"/>
      <c r="F9" s="6"/>
      <c r="G9" s="6"/>
      <c r="H9" s="6"/>
      <c r="I9" s="6"/>
      <c r="J9" s="6"/>
      <c r="K9" s="6"/>
      <c r="L9" s="6"/>
      <c r="M9" s="17"/>
    </row>
    <row r="10" spans="1:13" x14ac:dyDescent="0.3">
      <c r="A10" s="5">
        <v>2</v>
      </c>
      <c r="B10" s="5">
        <v>1</v>
      </c>
      <c r="C10" s="6">
        <v>9</v>
      </c>
      <c r="D10" s="6"/>
      <c r="E10" s="6"/>
      <c r="F10" s="6"/>
      <c r="G10" s="6"/>
      <c r="H10" s="6"/>
      <c r="I10" s="6"/>
      <c r="J10" s="6"/>
      <c r="K10" s="6"/>
      <c r="L10" s="7"/>
      <c r="M10" s="17"/>
    </row>
    <row r="11" spans="1:13" x14ac:dyDescent="0.3">
      <c r="A11" s="5">
        <v>3</v>
      </c>
      <c r="B11" s="5">
        <v>1</v>
      </c>
      <c r="C11" s="6">
        <v>7</v>
      </c>
      <c r="D11" s="6"/>
      <c r="E11" s="6"/>
      <c r="F11" s="6"/>
      <c r="G11" s="6"/>
      <c r="H11" s="6"/>
      <c r="I11" s="6"/>
      <c r="J11" s="6"/>
      <c r="K11" s="6"/>
      <c r="L11" s="6"/>
      <c r="M11" s="17"/>
    </row>
    <row r="12" spans="1:13" x14ac:dyDescent="0.3">
      <c r="A12" s="5">
        <v>4</v>
      </c>
      <c r="B12" s="5">
        <v>1</v>
      </c>
      <c r="C12" s="6">
        <v>3</v>
      </c>
      <c r="D12" s="6"/>
      <c r="E12" s="6"/>
      <c r="F12" s="6"/>
      <c r="G12" s="6"/>
      <c r="H12" s="6"/>
      <c r="I12" s="6"/>
      <c r="J12" s="6"/>
      <c r="K12" s="6"/>
      <c r="L12" s="6"/>
      <c r="M12" s="17"/>
    </row>
    <row r="13" spans="1:13" x14ac:dyDescent="0.3">
      <c r="A13" s="11" t="s">
        <v>17</v>
      </c>
      <c r="B13" s="11" t="s">
        <v>17</v>
      </c>
      <c r="C13" s="11" t="s">
        <v>17</v>
      </c>
      <c r="D13" s="11" t="s">
        <v>17</v>
      </c>
      <c r="E13" s="11" t="s">
        <v>17</v>
      </c>
      <c r="F13" s="11" t="s">
        <v>17</v>
      </c>
      <c r="G13" s="11" t="s">
        <v>17</v>
      </c>
      <c r="H13" s="11" t="s">
        <v>17</v>
      </c>
      <c r="I13" s="11" t="s">
        <v>17</v>
      </c>
      <c r="J13" s="11" t="s">
        <v>17</v>
      </c>
      <c r="K13" s="11" t="s">
        <v>17</v>
      </c>
      <c r="L13" s="11" t="s">
        <v>17</v>
      </c>
      <c r="M13" s="11" t="s">
        <v>17</v>
      </c>
    </row>
    <row r="14" spans="1:13" x14ac:dyDescent="0.3">
      <c r="A14" s="5">
        <v>5</v>
      </c>
      <c r="B14" s="5">
        <v>1</v>
      </c>
      <c r="C14" s="6">
        <v>2</v>
      </c>
      <c r="D14" s="6"/>
      <c r="E14" s="6"/>
      <c r="F14" s="6"/>
      <c r="G14" s="6"/>
      <c r="H14" s="6"/>
      <c r="I14" s="6"/>
      <c r="J14" s="6"/>
      <c r="K14" s="6"/>
      <c r="L14" s="6"/>
      <c r="M14" s="17"/>
    </row>
    <row r="15" spans="1:13" x14ac:dyDescent="0.3">
      <c r="A15" s="5">
        <v>6</v>
      </c>
      <c r="B15" s="5">
        <v>1</v>
      </c>
      <c r="C15" s="6">
        <v>10</v>
      </c>
      <c r="D15" s="6"/>
      <c r="E15" s="6"/>
      <c r="F15" s="6"/>
      <c r="G15" s="6"/>
      <c r="H15" s="6"/>
      <c r="I15" s="6"/>
      <c r="J15" s="6"/>
      <c r="K15" s="6"/>
      <c r="L15" s="6"/>
      <c r="M15" s="17"/>
    </row>
    <row r="16" spans="1:13" x14ac:dyDescent="0.3">
      <c r="A16" s="5">
        <v>7</v>
      </c>
      <c r="B16" s="5">
        <v>1</v>
      </c>
      <c r="C16" s="6">
        <v>4</v>
      </c>
      <c r="D16" s="6"/>
      <c r="E16" s="6"/>
      <c r="F16" s="6"/>
      <c r="G16" s="6"/>
      <c r="H16" s="6"/>
      <c r="I16" s="6"/>
      <c r="J16" s="6"/>
      <c r="K16" s="6"/>
      <c r="L16" s="6"/>
      <c r="M16" s="17"/>
    </row>
    <row r="17" spans="1:13" x14ac:dyDescent="0.3">
      <c r="A17" s="5">
        <v>8</v>
      </c>
      <c r="B17" s="5">
        <v>1</v>
      </c>
      <c r="C17" s="6">
        <v>5</v>
      </c>
      <c r="D17" s="6"/>
      <c r="E17" s="6"/>
      <c r="F17" s="6"/>
      <c r="G17" s="6"/>
      <c r="H17" s="6"/>
      <c r="I17" s="6"/>
      <c r="J17" s="6"/>
      <c r="K17" s="6"/>
      <c r="L17" s="6"/>
      <c r="M17" s="17"/>
    </row>
    <row r="18" spans="1:13" x14ac:dyDescent="0.3">
      <c r="A18" s="5">
        <v>9</v>
      </c>
      <c r="B18" s="5">
        <v>1</v>
      </c>
      <c r="C18" s="6">
        <v>11</v>
      </c>
      <c r="D18" s="6"/>
      <c r="E18" s="6"/>
      <c r="F18" s="6"/>
      <c r="G18" s="6"/>
      <c r="H18" s="6"/>
      <c r="I18" s="6"/>
      <c r="J18" s="6"/>
      <c r="K18" s="6"/>
      <c r="L18" s="6"/>
      <c r="M18" s="17"/>
    </row>
    <row r="19" spans="1:13" x14ac:dyDescent="0.3">
      <c r="A19" s="5">
        <v>10</v>
      </c>
      <c r="B19" s="5">
        <v>1</v>
      </c>
      <c r="C19" s="6">
        <v>1</v>
      </c>
      <c r="D19" s="6"/>
      <c r="E19" s="6"/>
      <c r="F19" s="6"/>
      <c r="G19" s="6"/>
      <c r="H19" s="6"/>
      <c r="I19" s="6"/>
      <c r="J19" s="6"/>
      <c r="K19" s="6"/>
      <c r="L19" s="6"/>
      <c r="M19" s="17"/>
    </row>
    <row r="20" spans="1:13" x14ac:dyDescent="0.3">
      <c r="A20" s="5">
        <v>11</v>
      </c>
      <c r="B20" s="5">
        <v>1</v>
      </c>
      <c r="C20" s="6">
        <v>6</v>
      </c>
      <c r="D20" s="6"/>
      <c r="E20" s="6"/>
      <c r="F20" s="6"/>
      <c r="G20" s="6"/>
      <c r="H20" s="6"/>
      <c r="I20" s="6"/>
      <c r="J20" s="6"/>
      <c r="K20" s="6"/>
      <c r="L20" s="6"/>
      <c r="M20" s="17"/>
    </row>
    <row r="21" spans="1:13" x14ac:dyDescent="0.3">
      <c r="A21" s="8">
        <v>12</v>
      </c>
      <c r="B21" s="8">
        <v>2</v>
      </c>
      <c r="C21" s="9">
        <v>1</v>
      </c>
      <c r="D21" s="9"/>
      <c r="E21" s="9"/>
      <c r="F21" s="9"/>
      <c r="G21" s="9"/>
      <c r="H21" s="9"/>
      <c r="I21" s="9"/>
      <c r="J21" s="9"/>
      <c r="K21" s="9"/>
      <c r="L21" s="9"/>
      <c r="M21" s="19"/>
    </row>
    <row r="22" spans="1:13" x14ac:dyDescent="0.3">
      <c r="A22" s="8">
        <v>13</v>
      </c>
      <c r="B22" s="8">
        <v>2</v>
      </c>
      <c r="C22" s="9">
        <v>6</v>
      </c>
      <c r="D22" s="9"/>
      <c r="E22" s="9"/>
      <c r="F22" s="9"/>
      <c r="G22" s="9"/>
      <c r="H22" s="9"/>
      <c r="I22" s="9"/>
      <c r="J22" s="9"/>
      <c r="K22" s="9"/>
      <c r="L22" s="9"/>
      <c r="M22" s="19"/>
    </row>
    <row r="23" spans="1:13" x14ac:dyDescent="0.3">
      <c r="A23" s="11" t="s">
        <v>17</v>
      </c>
      <c r="B23" s="11" t="s">
        <v>17</v>
      </c>
      <c r="C23" s="11" t="s">
        <v>17</v>
      </c>
      <c r="D23" s="11" t="s">
        <v>17</v>
      </c>
      <c r="E23" s="11" t="s">
        <v>17</v>
      </c>
      <c r="F23" s="11" t="s">
        <v>17</v>
      </c>
      <c r="G23" s="11" t="s">
        <v>17</v>
      </c>
      <c r="H23" s="11" t="s">
        <v>17</v>
      </c>
      <c r="I23" s="11" t="s">
        <v>17</v>
      </c>
      <c r="J23" s="11" t="s">
        <v>17</v>
      </c>
      <c r="K23" s="11" t="s">
        <v>17</v>
      </c>
      <c r="L23" s="11" t="s">
        <v>17</v>
      </c>
      <c r="M23" s="11" t="s">
        <v>17</v>
      </c>
    </row>
    <row r="24" spans="1:13" x14ac:dyDescent="0.3">
      <c r="A24" s="8">
        <v>14</v>
      </c>
      <c r="B24" s="8">
        <v>2</v>
      </c>
      <c r="C24" s="9">
        <v>10</v>
      </c>
      <c r="D24" s="9"/>
      <c r="E24" s="9"/>
      <c r="F24" s="9"/>
      <c r="G24" s="9"/>
      <c r="H24" s="9"/>
      <c r="I24" s="9"/>
      <c r="J24" s="9"/>
      <c r="K24" s="9"/>
      <c r="L24" s="10"/>
      <c r="M24" s="19"/>
    </row>
    <row r="25" spans="1:13" x14ac:dyDescent="0.3">
      <c r="A25" s="8">
        <v>15</v>
      </c>
      <c r="B25" s="8">
        <v>2</v>
      </c>
      <c r="C25" s="9">
        <v>3</v>
      </c>
      <c r="D25" s="9"/>
      <c r="E25" s="9"/>
      <c r="F25" s="9"/>
      <c r="G25" s="9"/>
      <c r="H25" s="9"/>
      <c r="I25" s="9"/>
      <c r="J25" s="9"/>
      <c r="K25" s="9"/>
      <c r="L25" s="9"/>
      <c r="M25" s="19"/>
    </row>
    <row r="26" spans="1:13" x14ac:dyDescent="0.3">
      <c r="A26" s="8">
        <v>16</v>
      </c>
      <c r="B26" s="8">
        <v>2</v>
      </c>
      <c r="C26" s="9">
        <v>4</v>
      </c>
      <c r="D26" s="9"/>
      <c r="E26" s="9"/>
      <c r="F26" s="9"/>
      <c r="G26" s="9"/>
      <c r="H26" s="9"/>
      <c r="I26" s="9"/>
      <c r="J26" s="9"/>
      <c r="K26" s="9"/>
      <c r="L26" s="9"/>
      <c r="M26" s="19"/>
    </row>
    <row r="27" spans="1:13" x14ac:dyDescent="0.3">
      <c r="A27" s="8">
        <v>17</v>
      </c>
      <c r="B27" s="8">
        <v>2</v>
      </c>
      <c r="C27" s="9">
        <v>2</v>
      </c>
      <c r="D27" s="9"/>
      <c r="E27" s="9"/>
      <c r="F27" s="9"/>
      <c r="G27" s="9"/>
      <c r="H27" s="9"/>
      <c r="I27" s="9"/>
      <c r="J27" s="9"/>
      <c r="K27" s="9"/>
      <c r="L27" s="9"/>
      <c r="M27" s="19"/>
    </row>
    <row r="28" spans="1:13" x14ac:dyDescent="0.3">
      <c r="A28" s="8">
        <v>18</v>
      </c>
      <c r="B28" s="8">
        <v>2</v>
      </c>
      <c r="C28" s="9">
        <v>11</v>
      </c>
      <c r="D28" s="9"/>
      <c r="E28" s="9"/>
      <c r="F28" s="9"/>
      <c r="G28" s="9"/>
      <c r="H28" s="9"/>
      <c r="I28" s="9"/>
      <c r="J28" s="9"/>
      <c r="K28" s="9"/>
      <c r="L28" s="9"/>
      <c r="M28" s="19"/>
    </row>
    <row r="29" spans="1:13" x14ac:dyDescent="0.3">
      <c r="A29" s="8">
        <v>19</v>
      </c>
      <c r="B29" s="8">
        <v>2</v>
      </c>
      <c r="C29" s="9">
        <v>7</v>
      </c>
      <c r="D29" s="9"/>
      <c r="E29" s="9"/>
      <c r="F29" s="9"/>
      <c r="G29" s="9"/>
      <c r="H29" s="9"/>
      <c r="I29" s="9"/>
      <c r="J29" s="9"/>
      <c r="K29" s="9"/>
      <c r="L29" s="9"/>
      <c r="M29" s="19"/>
    </row>
    <row r="30" spans="1:13" x14ac:dyDescent="0.3">
      <c r="A30" s="8">
        <v>20</v>
      </c>
      <c r="B30" s="8">
        <v>2</v>
      </c>
      <c r="C30" s="9">
        <v>9</v>
      </c>
      <c r="D30" s="10"/>
      <c r="E30" s="9"/>
      <c r="F30" s="9"/>
      <c r="G30" s="9"/>
      <c r="H30" s="9"/>
      <c r="I30" s="9"/>
      <c r="J30" s="9"/>
      <c r="K30" s="9"/>
      <c r="L30" s="9"/>
      <c r="M30" s="19"/>
    </row>
    <row r="31" spans="1:13" x14ac:dyDescent="0.3">
      <c r="A31" s="8">
        <v>21</v>
      </c>
      <c r="B31" s="8">
        <v>2</v>
      </c>
      <c r="C31" s="9">
        <v>5</v>
      </c>
      <c r="D31" s="9"/>
      <c r="E31" s="9"/>
      <c r="F31" s="9"/>
      <c r="G31" s="9"/>
      <c r="H31" s="9"/>
      <c r="I31" s="9"/>
      <c r="J31" s="9"/>
      <c r="K31" s="9"/>
      <c r="L31" s="9"/>
      <c r="M31" s="19"/>
    </row>
    <row r="32" spans="1:13" x14ac:dyDescent="0.3">
      <c r="A32" s="8">
        <v>22</v>
      </c>
      <c r="B32" s="8">
        <v>2</v>
      </c>
      <c r="C32" s="9">
        <v>8</v>
      </c>
      <c r="D32" s="9"/>
      <c r="E32" s="9"/>
      <c r="F32" s="9"/>
      <c r="G32" s="9"/>
      <c r="H32" s="9"/>
      <c r="I32" s="9"/>
      <c r="J32" s="9"/>
      <c r="K32" s="9"/>
      <c r="L32" s="9"/>
      <c r="M32" s="19"/>
    </row>
    <row r="33" spans="1:13" x14ac:dyDescent="0.3">
      <c r="A33" s="5">
        <v>23</v>
      </c>
      <c r="B33" s="6">
        <v>3</v>
      </c>
      <c r="C33" s="6">
        <v>4</v>
      </c>
      <c r="D33" s="6"/>
      <c r="E33" s="6"/>
      <c r="F33" s="6"/>
      <c r="G33" s="6"/>
      <c r="H33" s="6"/>
      <c r="I33" s="6"/>
      <c r="J33" s="6"/>
      <c r="K33" s="6"/>
      <c r="L33" s="6"/>
      <c r="M33" s="17"/>
    </row>
    <row r="34" spans="1:13" x14ac:dyDescent="0.3">
      <c r="A34" s="5">
        <v>24</v>
      </c>
      <c r="B34" s="6">
        <v>3</v>
      </c>
      <c r="C34" s="6">
        <v>1</v>
      </c>
      <c r="D34" s="6"/>
      <c r="E34" s="6"/>
      <c r="F34" s="6"/>
      <c r="G34" s="6"/>
      <c r="H34" s="6"/>
      <c r="I34" s="7"/>
      <c r="J34" s="7"/>
      <c r="K34" s="6"/>
      <c r="L34" s="6"/>
      <c r="M34" s="17"/>
    </row>
    <row r="35" spans="1:13" x14ac:dyDescent="0.3">
      <c r="A35" s="5">
        <v>25</v>
      </c>
      <c r="B35" s="6">
        <v>3</v>
      </c>
      <c r="C35" s="6">
        <v>9</v>
      </c>
      <c r="D35" s="6"/>
      <c r="E35" s="6"/>
      <c r="F35" s="6"/>
      <c r="G35" s="6"/>
      <c r="H35" s="6"/>
      <c r="I35" s="6"/>
      <c r="J35" s="6"/>
      <c r="K35" s="6"/>
      <c r="L35" s="6"/>
      <c r="M35" s="17"/>
    </row>
    <row r="36" spans="1:13" x14ac:dyDescent="0.3">
      <c r="A36" s="5">
        <v>26</v>
      </c>
      <c r="B36" s="6">
        <v>3</v>
      </c>
      <c r="C36" s="6">
        <v>2</v>
      </c>
      <c r="D36" s="6"/>
      <c r="E36" s="6"/>
      <c r="F36" s="6"/>
      <c r="G36" s="6"/>
      <c r="H36" s="6"/>
      <c r="I36" s="6"/>
      <c r="J36" s="6"/>
      <c r="K36" s="6"/>
      <c r="L36" s="6"/>
      <c r="M36" s="17"/>
    </row>
    <row r="37" spans="1:13" x14ac:dyDescent="0.3">
      <c r="A37" s="5">
        <v>27</v>
      </c>
      <c r="B37" s="6">
        <v>3</v>
      </c>
      <c r="C37" s="6">
        <v>6</v>
      </c>
      <c r="D37" s="6"/>
      <c r="E37" s="6"/>
      <c r="F37" s="6"/>
      <c r="G37" s="6"/>
      <c r="H37" s="6"/>
      <c r="I37" s="6"/>
      <c r="J37" s="6"/>
      <c r="K37" s="6"/>
      <c r="L37" s="6"/>
      <c r="M37" s="17"/>
    </row>
    <row r="38" spans="1:13" x14ac:dyDescent="0.3">
      <c r="A38" s="5">
        <v>28</v>
      </c>
      <c r="B38" s="6">
        <v>3</v>
      </c>
      <c r="C38" s="6">
        <v>11</v>
      </c>
      <c r="D38" s="6"/>
      <c r="E38" s="6"/>
      <c r="F38" s="6"/>
      <c r="G38" s="6"/>
      <c r="H38" s="6"/>
      <c r="I38" s="6"/>
      <c r="J38" s="6"/>
      <c r="K38" s="6"/>
      <c r="L38" s="6"/>
      <c r="M38" s="17"/>
    </row>
    <row r="39" spans="1:13" x14ac:dyDescent="0.3">
      <c r="A39" s="5">
        <v>29</v>
      </c>
      <c r="B39" s="6">
        <v>3</v>
      </c>
      <c r="C39" s="6">
        <v>5</v>
      </c>
      <c r="D39" s="6"/>
      <c r="E39" s="6"/>
      <c r="F39" s="6"/>
      <c r="G39" s="6"/>
      <c r="H39" s="6"/>
      <c r="I39" s="7"/>
      <c r="J39" s="6"/>
      <c r="K39" s="6"/>
      <c r="L39" s="6"/>
      <c r="M39" s="17"/>
    </row>
    <row r="40" spans="1:13" x14ac:dyDescent="0.3">
      <c r="A40" s="11" t="s">
        <v>17</v>
      </c>
      <c r="B40" s="11" t="s">
        <v>17</v>
      </c>
      <c r="C40" s="11" t="s">
        <v>17</v>
      </c>
      <c r="D40" s="11" t="s">
        <v>17</v>
      </c>
      <c r="E40" s="11" t="s">
        <v>17</v>
      </c>
      <c r="F40" s="11" t="s">
        <v>17</v>
      </c>
      <c r="G40" s="11" t="s">
        <v>17</v>
      </c>
      <c r="H40" s="11" t="s">
        <v>17</v>
      </c>
      <c r="I40" s="11" t="s">
        <v>17</v>
      </c>
      <c r="J40" s="11" t="s">
        <v>17</v>
      </c>
      <c r="K40" s="11" t="s">
        <v>17</v>
      </c>
      <c r="L40" s="11" t="s">
        <v>17</v>
      </c>
      <c r="M40" s="11" t="s">
        <v>17</v>
      </c>
    </row>
    <row r="41" spans="1:13" x14ac:dyDescent="0.3">
      <c r="A41" s="5">
        <v>30</v>
      </c>
      <c r="B41" s="6">
        <v>3</v>
      </c>
      <c r="C41" s="6">
        <v>8</v>
      </c>
      <c r="D41" s="6"/>
      <c r="E41" s="6"/>
      <c r="F41" s="6"/>
      <c r="G41" s="6"/>
      <c r="H41" s="6"/>
      <c r="I41" s="6"/>
      <c r="J41" s="6"/>
      <c r="K41" s="6"/>
      <c r="L41" s="6"/>
      <c r="M41" s="17"/>
    </row>
    <row r="42" spans="1:13" x14ac:dyDescent="0.3">
      <c r="A42" s="5">
        <v>31</v>
      </c>
      <c r="B42" s="6">
        <v>3</v>
      </c>
      <c r="C42" s="6">
        <v>3</v>
      </c>
      <c r="D42" s="6"/>
      <c r="E42" s="6"/>
      <c r="F42" s="6"/>
      <c r="G42" s="6"/>
      <c r="H42" s="6"/>
      <c r="I42" s="6"/>
      <c r="J42" s="6"/>
      <c r="K42" s="6"/>
      <c r="L42" s="6"/>
      <c r="M42" s="17"/>
    </row>
    <row r="43" spans="1:13" x14ac:dyDescent="0.3">
      <c r="A43" s="5">
        <v>32</v>
      </c>
      <c r="B43" s="6">
        <v>3</v>
      </c>
      <c r="C43" s="6">
        <v>7</v>
      </c>
      <c r="D43" s="6"/>
      <c r="E43" s="6"/>
      <c r="F43" s="6"/>
      <c r="G43" s="6"/>
      <c r="H43" s="6"/>
      <c r="I43" s="6"/>
      <c r="J43" s="6"/>
      <c r="K43" s="6"/>
      <c r="L43" s="6"/>
      <c r="M43" s="17"/>
    </row>
    <row r="44" spans="1:13" x14ac:dyDescent="0.3">
      <c r="A44" s="5">
        <v>33</v>
      </c>
      <c r="B44" s="6">
        <v>3</v>
      </c>
      <c r="C44" s="6">
        <v>10</v>
      </c>
      <c r="D44" s="6"/>
      <c r="E44" s="6"/>
      <c r="F44" s="6"/>
      <c r="G44" s="6"/>
      <c r="H44" s="6"/>
      <c r="I44" s="6"/>
      <c r="J44" s="6"/>
      <c r="K44" s="6"/>
      <c r="L44" s="7"/>
      <c r="M44" s="17"/>
    </row>
    <row r="45" spans="1:13" x14ac:dyDescent="0.3">
      <c r="A45" s="8">
        <v>34</v>
      </c>
      <c r="B45" s="9">
        <v>4</v>
      </c>
      <c r="C45" s="9">
        <v>7</v>
      </c>
      <c r="D45" s="10"/>
      <c r="E45" s="9"/>
      <c r="F45" s="9"/>
      <c r="G45" s="9"/>
      <c r="H45" s="9"/>
      <c r="I45" s="10"/>
      <c r="J45" s="9"/>
      <c r="K45" s="9"/>
      <c r="L45" s="10"/>
      <c r="M45" s="19"/>
    </row>
    <row r="46" spans="1:13" x14ac:dyDescent="0.3">
      <c r="A46" s="8">
        <v>35</v>
      </c>
      <c r="B46" s="9">
        <v>4</v>
      </c>
      <c r="C46" s="9">
        <v>8</v>
      </c>
      <c r="D46" s="9"/>
      <c r="E46" s="9"/>
      <c r="F46" s="9"/>
      <c r="G46" s="9"/>
      <c r="H46" s="9"/>
      <c r="I46" s="9"/>
      <c r="J46" s="9"/>
      <c r="K46" s="9"/>
      <c r="L46" s="9"/>
      <c r="M46" s="19"/>
    </row>
    <row r="47" spans="1:13" x14ac:dyDescent="0.3">
      <c r="A47" s="8">
        <v>36</v>
      </c>
      <c r="B47" s="9">
        <v>4</v>
      </c>
      <c r="C47" s="9">
        <v>11</v>
      </c>
      <c r="D47" s="9"/>
      <c r="E47" s="9"/>
      <c r="F47" s="9"/>
      <c r="G47" s="9"/>
      <c r="H47" s="9"/>
      <c r="I47" s="9"/>
      <c r="J47" s="9"/>
      <c r="K47" s="9"/>
      <c r="L47" s="9"/>
      <c r="M47" s="19"/>
    </row>
    <row r="48" spans="1:13" x14ac:dyDescent="0.3">
      <c r="A48" s="8">
        <v>37</v>
      </c>
      <c r="B48" s="9">
        <v>4</v>
      </c>
      <c r="C48" s="9">
        <v>5</v>
      </c>
      <c r="D48" s="9"/>
      <c r="E48" s="9"/>
      <c r="F48" s="9"/>
      <c r="G48" s="9"/>
      <c r="H48" s="9"/>
      <c r="I48" s="9"/>
      <c r="J48" s="9"/>
      <c r="K48" s="9"/>
      <c r="L48" s="9"/>
      <c r="M48" s="19"/>
    </row>
    <row r="49" spans="1:13" x14ac:dyDescent="0.3">
      <c r="A49" s="8">
        <v>38</v>
      </c>
      <c r="B49" s="9">
        <v>4</v>
      </c>
      <c r="C49" s="9">
        <v>9</v>
      </c>
      <c r="D49" s="9"/>
      <c r="E49" s="9"/>
      <c r="F49" s="9"/>
      <c r="G49" s="9"/>
      <c r="H49" s="9"/>
      <c r="I49" s="9"/>
      <c r="J49" s="9"/>
      <c r="K49" s="9"/>
      <c r="L49" s="9"/>
      <c r="M49" s="19"/>
    </row>
    <row r="50" spans="1:13" x14ac:dyDescent="0.3">
      <c r="A50" s="11" t="s">
        <v>17</v>
      </c>
      <c r="B50" s="11" t="s">
        <v>17</v>
      </c>
      <c r="C50" s="11" t="s">
        <v>17</v>
      </c>
      <c r="D50" s="11" t="s">
        <v>17</v>
      </c>
      <c r="E50" s="11" t="s">
        <v>17</v>
      </c>
      <c r="F50" s="11" t="s">
        <v>17</v>
      </c>
      <c r="G50" s="11" t="s">
        <v>17</v>
      </c>
      <c r="H50" s="11" t="s">
        <v>17</v>
      </c>
      <c r="I50" s="11" t="s">
        <v>17</v>
      </c>
      <c r="J50" s="11" t="s">
        <v>17</v>
      </c>
      <c r="K50" s="11" t="s">
        <v>17</v>
      </c>
      <c r="L50" s="11" t="s">
        <v>17</v>
      </c>
      <c r="M50" s="11" t="s">
        <v>17</v>
      </c>
    </row>
    <row r="51" spans="1:13" x14ac:dyDescent="0.3">
      <c r="A51" s="8">
        <v>39</v>
      </c>
      <c r="B51" s="9">
        <v>4</v>
      </c>
      <c r="C51" s="9">
        <v>6</v>
      </c>
      <c r="D51" s="9"/>
      <c r="E51" s="9"/>
      <c r="F51" s="9"/>
      <c r="G51" s="9"/>
      <c r="H51" s="9"/>
      <c r="I51" s="9"/>
      <c r="J51" s="9"/>
      <c r="K51" s="9"/>
      <c r="L51" s="9"/>
      <c r="M51" s="19"/>
    </row>
    <row r="52" spans="1:13" x14ac:dyDescent="0.3">
      <c r="A52" s="8">
        <v>40</v>
      </c>
      <c r="B52" s="9">
        <v>4</v>
      </c>
      <c r="C52" s="9">
        <v>2</v>
      </c>
      <c r="D52" s="9"/>
      <c r="E52" s="10"/>
      <c r="F52" s="9"/>
      <c r="G52" s="9"/>
      <c r="H52" s="9"/>
      <c r="I52" s="9"/>
      <c r="J52" s="10"/>
      <c r="K52" s="10"/>
      <c r="L52" s="9"/>
      <c r="M52" s="19"/>
    </row>
    <row r="53" spans="1:13" x14ac:dyDescent="0.3">
      <c r="A53" s="8">
        <v>41</v>
      </c>
      <c r="B53" s="9">
        <v>4</v>
      </c>
      <c r="C53" s="9">
        <v>10</v>
      </c>
      <c r="D53" s="9"/>
      <c r="E53" s="9"/>
      <c r="F53" s="9"/>
      <c r="G53" s="9"/>
      <c r="H53" s="9"/>
      <c r="I53" s="9"/>
      <c r="J53" s="9"/>
      <c r="K53" s="9"/>
      <c r="L53" s="9"/>
      <c r="M53" s="19"/>
    </row>
    <row r="54" spans="1:13" x14ac:dyDescent="0.3">
      <c r="A54" s="8">
        <v>42</v>
      </c>
      <c r="B54" s="9">
        <v>4</v>
      </c>
      <c r="C54" s="9">
        <v>1</v>
      </c>
      <c r="D54" s="9"/>
      <c r="E54" s="9"/>
      <c r="F54" s="9"/>
      <c r="G54" s="9"/>
      <c r="H54" s="9"/>
      <c r="I54" s="9"/>
      <c r="J54" s="9"/>
      <c r="K54" s="9"/>
      <c r="L54" s="9"/>
      <c r="M54" s="19"/>
    </row>
    <row r="55" spans="1:13" x14ac:dyDescent="0.3">
      <c r="A55" s="8">
        <v>43</v>
      </c>
      <c r="B55" s="9">
        <v>4</v>
      </c>
      <c r="C55" s="9">
        <v>4</v>
      </c>
      <c r="D55" s="9"/>
      <c r="E55" s="9"/>
      <c r="F55" s="9"/>
      <c r="G55" s="9"/>
      <c r="H55" s="9"/>
      <c r="I55" s="9"/>
      <c r="J55" s="9"/>
      <c r="K55" s="9"/>
      <c r="L55" s="9"/>
      <c r="M55" s="19"/>
    </row>
    <row r="56" spans="1:13" x14ac:dyDescent="0.3">
      <c r="A56" s="8">
        <v>44</v>
      </c>
      <c r="B56" s="9">
        <v>4</v>
      </c>
      <c r="C56" s="9">
        <v>3</v>
      </c>
      <c r="D56" s="9"/>
      <c r="E56" s="9"/>
      <c r="F56" s="9"/>
      <c r="G56" s="9"/>
      <c r="H56" s="9"/>
      <c r="I56" s="9"/>
      <c r="J56" s="9"/>
      <c r="K56" s="9"/>
      <c r="L56" s="9"/>
      <c r="M56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Pre-app ass</vt:lpstr>
      <vt:lpstr>14DAT1 - 27.03.25</vt:lpstr>
      <vt:lpstr>28DAT1 - 10.04.25</vt:lpstr>
      <vt:lpstr>14DAT2 - 23.04.25</vt:lpstr>
      <vt:lpstr>28DAT2 - 08.05.25</vt:lpstr>
      <vt:lpstr>Extra Ass. 15.05.25</vt:lpstr>
      <vt:lpstr>14DAT3 - 20.05.25</vt:lpstr>
      <vt:lpstr>28DAT3 - 02.06.25</vt:lpstr>
      <vt:lpstr>16.06.25</vt:lpstr>
      <vt:lpstr>30.06.25</vt:lpstr>
      <vt:lpstr>14.07.25</vt:lpstr>
      <vt:lpstr>31.07.25</vt:lpstr>
      <vt:lpstr>11.08.25</vt:lpstr>
      <vt:lpstr>12.09.25</vt:lpstr>
      <vt:lpstr>26.09.25</vt:lpstr>
      <vt:lpstr>spare empty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Aaisha Ali</dc:creator>
  <cp:lastModifiedBy>Tyler Schofield</cp:lastModifiedBy>
  <cp:lastPrinted>2019-02-07T10:54:40Z</cp:lastPrinted>
  <dcterms:created xsi:type="dcterms:W3CDTF">2018-04-13T10:03:00Z</dcterms:created>
  <dcterms:modified xsi:type="dcterms:W3CDTF">2025-10-01T10:55:10Z</dcterms:modified>
</cp:coreProperties>
</file>