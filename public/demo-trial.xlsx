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Trial A-Z\S\STRI\2025\Internal Curative Dollar Spot Trial\Results\"/>
    </mc:Choice>
  </mc:AlternateContent>
  <xr:revisionPtr revIDLastSave="0" documentId="13_ncr:1_{F8734D06-17D9-4233-A8EE-14B5EF890F82}" xr6:coauthVersionLast="47" xr6:coauthVersionMax="47" xr10:uidLastSave="{00000000-0000-0000-0000-000000000000}"/>
  <bookViews>
    <workbookView xWindow="28680" yWindow="-120" windowWidth="29040" windowHeight="15720" firstSheet="7" activeTab="13" xr2:uid="{00000000-000D-0000-FFFF-FFFF00000000}"/>
  </bookViews>
  <sheets>
    <sheet name="03.07.25" sheetId="1" r:id="rId1"/>
    <sheet name="16.07.25" sheetId="2" r:id="rId2"/>
    <sheet name="31.07.25" sheetId="3" r:id="rId3"/>
    <sheet name="08.08.25" sheetId="4" r:id="rId4"/>
    <sheet name="13.08.25" sheetId="5" r:id="rId5"/>
    <sheet name="22.08.25" sheetId="6" r:id="rId6"/>
    <sheet name="26.08.25" sheetId="7" r:id="rId7"/>
    <sheet name="02.09.25" sheetId="8" r:id="rId8"/>
    <sheet name="09.09.25" sheetId="9" r:id="rId9"/>
    <sheet name="16.09.25" sheetId="10" r:id="rId10"/>
    <sheet name="02.10.25" sheetId="11" r:id="rId11"/>
    <sheet name="09.10.25" sheetId="13" r:id="rId12"/>
    <sheet name="15.10.25" sheetId="14" r:id="rId13"/>
    <sheet name="23.10.25" sheetId="15" r:id="rId14"/>
    <sheet name="Sheet1" sheetId="16" r:id="rId15"/>
    <sheet name="Trial Plan" sheetId="12" r:id="rId16"/>
  </sheets>
  <definedNames>
    <definedName name="_Hlk202360713" localSheetId="15">'Trial Plan'!$H$3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6" l="1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13" i="6"/>
  <c r="K16" i="6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5" i="6"/>
  <c r="K14" i="6"/>
  <c r="K12" i="6"/>
  <c r="K11" i="6"/>
  <c r="K10" i="6"/>
  <c r="K9" i="6"/>
  <c r="K8" i="6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</calcChain>
</file>

<file path=xl/sharedStrings.xml><?xml version="1.0" encoding="utf-8"?>
<sst xmlns="http://schemas.openxmlformats.org/spreadsheetml/2006/main" count="368" uniqueCount="53">
  <si>
    <t>Trial Code:</t>
  </si>
  <si>
    <t>Trial Name:</t>
  </si>
  <si>
    <t>Date:</t>
  </si>
  <si>
    <t>Area:</t>
  </si>
  <si>
    <t>Assessor:</t>
  </si>
  <si>
    <t>Notes:</t>
  </si>
  <si>
    <t>QC:</t>
  </si>
  <si>
    <t>Plot!</t>
  </si>
  <si>
    <t>Block!</t>
  </si>
  <si>
    <t>TQ</t>
  </si>
  <si>
    <t>TC</t>
  </si>
  <si>
    <t>%DS</t>
  </si>
  <si>
    <t>Phyto</t>
  </si>
  <si>
    <t>Date of QC:</t>
  </si>
  <si>
    <t>%LGC</t>
  </si>
  <si>
    <t>%Scar</t>
  </si>
  <si>
    <t>NDVI</t>
  </si>
  <si>
    <t>Photos to take (drone minimum)</t>
  </si>
  <si>
    <t>Q1</t>
  </si>
  <si>
    <t>STRI Dollar Spot Curative</t>
  </si>
  <si>
    <t>Treat1!</t>
  </si>
  <si>
    <t>3.7.25</t>
  </si>
  <si>
    <t>ot</t>
  </si>
  <si>
    <t>16.07.25</t>
  </si>
  <si>
    <t>LM</t>
  </si>
  <si>
    <t>31.07.25</t>
  </si>
  <si>
    <t>08.08.25</t>
  </si>
  <si>
    <t>13.08.25</t>
  </si>
  <si>
    <t>22.08.25</t>
  </si>
  <si>
    <t>26.08.25</t>
  </si>
  <si>
    <t>02.09.25</t>
  </si>
  <si>
    <t>09.09.25</t>
  </si>
  <si>
    <t>16.09.25</t>
  </si>
  <si>
    <t>[1] Untreated</t>
  </si>
  <si>
    <t>[2] Ryder</t>
  </si>
  <si>
    <t>[3] GM Liquid Effect Fe</t>
  </si>
  <si>
    <t>[4] Gm High N</t>
  </si>
  <si>
    <t>[5] Sirius Si 21%</t>
  </si>
  <si>
    <t>[6] Fulvic Acid</t>
  </si>
  <si>
    <t>[7] Protec K</t>
  </si>
  <si>
    <t>[8] Revolution</t>
  </si>
  <si>
    <t>[9] Instrata Elite</t>
  </si>
  <si>
    <t>Block 1</t>
  </si>
  <si>
    <t>Block 2</t>
  </si>
  <si>
    <t>Block 3</t>
  </si>
  <si>
    <t>Block 4</t>
  </si>
  <si>
    <t>%CONT</t>
  </si>
  <si>
    <t>02.10.25</t>
  </si>
  <si>
    <t>Reno still underway</t>
  </si>
  <si>
    <t>Reno still underway, lots of sand still on the area. Recovery starts</t>
  </si>
  <si>
    <t>09.10.25</t>
  </si>
  <si>
    <t>15.10.25</t>
  </si>
  <si>
    <t>23.10.25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</si>
</sst>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Montserrat"/>
    </font>
    <font>
      <b/>
      <sz val="16"/>
      <color rgb="FF000000"/>
      <name val="Montserrat"/>
    </font>
    <font>
      <sz val="12"/>
      <color rgb="FF000000"/>
      <name val="Montserrat"/>
    </font>
    <font>
      <sz val="12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1" fontId="0" fillId="0" borderId="0" xfId="0" applyNumberFormat="1"/>
    <xf numFmtId="1" fontId="0" fillId="0" borderId="5" xfId="0" applyNumberFormat="1" applyBorder="1"/>
    <xf numFmtId="0" fontId="2" fillId="0" borderId="20" xfId="0" applyFont="1" applyBorder="1" applyAlignment="1">
      <alignment horizontal="center"/>
    </xf>
    <xf numFmtId="1" fontId="0" fillId="0" borderId="4" xfId="0" applyNumberFormat="1" applyBorder="1"/>
    <xf numFmtId="0" fontId="2" fillId="0" borderId="19" xfId="0" applyFont="1" applyBorder="1" applyAlignment="1">
      <alignment horizontal="center"/>
    </xf>
    <xf numFmtId="1" fontId="0" fillId="0" borderId="7" xfId="0" applyNumberFormat="1" applyBorder="1"/>
    <xf numFmtId="0" fontId="0" fillId="0" borderId="7" xfId="0" applyBorder="1"/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workbookViewId="0">
      <selection activeCell="N17" sqref="N17"/>
    </sheetView>
  </sheetViews>
  <sheetFormatPr defaultRowHeight="14.4" x14ac:dyDescent="0.3"/>
  <cols>
    <col min="1" max="1" width="9.88671875" bestFit="1" customWidth="1"/>
    <col min="3" max="3" width="12.88671875" customWidth="1"/>
  </cols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21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22</v>
      </c>
    </row>
    <row r="5" spans="1:11" x14ac:dyDescent="0.3">
      <c r="A5" t="s">
        <v>5</v>
      </c>
      <c r="B5" t="s">
        <v>17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" t="s">
        <v>12</v>
      </c>
      <c r="K7" s="32"/>
    </row>
    <row r="8" spans="1:11" x14ac:dyDescent="0.3">
      <c r="A8" s="5">
        <v>1</v>
      </c>
      <c r="B8" s="5">
        <v>1</v>
      </c>
      <c r="C8" s="5">
        <v>9</v>
      </c>
      <c r="D8" s="6">
        <v>5.5</v>
      </c>
      <c r="E8" s="6">
        <v>7</v>
      </c>
      <c r="F8" s="6">
        <v>85</v>
      </c>
      <c r="G8" s="6">
        <v>3</v>
      </c>
      <c r="H8" s="6">
        <v>2</v>
      </c>
      <c r="I8" s="6">
        <v>0.73</v>
      </c>
      <c r="J8" s="6"/>
      <c r="K8" s="33"/>
    </row>
    <row r="9" spans="1:11" x14ac:dyDescent="0.3">
      <c r="A9" s="6">
        <v>1</v>
      </c>
      <c r="B9" s="5">
        <v>2</v>
      </c>
      <c r="C9" s="6">
        <v>5</v>
      </c>
      <c r="D9" s="6">
        <v>5.5</v>
      </c>
      <c r="E9" s="6">
        <v>7</v>
      </c>
      <c r="F9" s="6">
        <v>88</v>
      </c>
      <c r="G9" s="6">
        <v>5</v>
      </c>
      <c r="H9" s="6">
        <v>2</v>
      </c>
      <c r="I9" s="6">
        <v>0.75</v>
      </c>
      <c r="J9" s="6"/>
      <c r="K9" s="33"/>
    </row>
    <row r="10" spans="1:11" x14ac:dyDescent="0.3">
      <c r="A10" s="6">
        <v>1</v>
      </c>
      <c r="B10" s="5">
        <v>3</v>
      </c>
      <c r="C10" s="6">
        <v>4</v>
      </c>
      <c r="D10" s="6">
        <v>5</v>
      </c>
      <c r="E10" s="6">
        <v>6.5</v>
      </c>
      <c r="F10" s="6">
        <v>83</v>
      </c>
      <c r="G10" s="6">
        <v>9</v>
      </c>
      <c r="H10" s="6">
        <v>2</v>
      </c>
      <c r="I10" s="6">
        <v>0.75</v>
      </c>
      <c r="J10" s="6"/>
      <c r="K10" s="33"/>
    </row>
    <row r="11" spans="1:11" x14ac:dyDescent="0.3">
      <c r="A11" s="6">
        <v>1</v>
      </c>
      <c r="B11" s="5">
        <v>4</v>
      </c>
      <c r="C11" s="6">
        <v>7</v>
      </c>
      <c r="D11" s="6">
        <v>5.5</v>
      </c>
      <c r="E11" s="6">
        <v>7</v>
      </c>
      <c r="F11" s="6">
        <v>87</v>
      </c>
      <c r="G11" s="6">
        <v>5</v>
      </c>
      <c r="H11" s="6">
        <v>2</v>
      </c>
      <c r="I11" s="6">
        <v>0.73</v>
      </c>
      <c r="J11" s="6"/>
      <c r="K11" s="33"/>
    </row>
    <row r="12" spans="1:11" x14ac:dyDescent="0.3">
      <c r="A12" s="6">
        <v>1</v>
      </c>
      <c r="B12" s="5">
        <v>5</v>
      </c>
      <c r="C12" s="6">
        <v>2</v>
      </c>
      <c r="D12" s="6">
        <v>5.5</v>
      </c>
      <c r="E12" s="6">
        <v>7</v>
      </c>
      <c r="F12" s="6">
        <v>85</v>
      </c>
      <c r="G12" s="6">
        <v>9</v>
      </c>
      <c r="H12" s="6">
        <v>2</v>
      </c>
      <c r="I12" s="6">
        <v>0.76</v>
      </c>
      <c r="J12" s="6"/>
      <c r="K12" s="33"/>
    </row>
    <row r="13" spans="1:11" x14ac:dyDescent="0.3">
      <c r="A13" s="6">
        <v>1</v>
      </c>
      <c r="B13" s="5">
        <v>6</v>
      </c>
      <c r="C13" s="6">
        <v>6</v>
      </c>
      <c r="D13" s="6">
        <v>4.5</v>
      </c>
      <c r="E13" s="6">
        <v>6.5</v>
      </c>
      <c r="F13" s="6">
        <v>78</v>
      </c>
      <c r="G13" s="6">
        <v>14</v>
      </c>
      <c r="H13" s="6">
        <v>3</v>
      </c>
      <c r="I13" s="6">
        <v>0.7</v>
      </c>
      <c r="J13" s="6"/>
      <c r="K13" s="33"/>
    </row>
    <row r="14" spans="1:11" x14ac:dyDescent="0.3">
      <c r="A14" s="6">
        <v>1</v>
      </c>
      <c r="B14" s="5">
        <v>7</v>
      </c>
      <c r="C14" s="6">
        <v>8</v>
      </c>
      <c r="D14" s="6">
        <v>5</v>
      </c>
      <c r="E14" s="6">
        <v>6.5</v>
      </c>
      <c r="F14" s="6">
        <v>77</v>
      </c>
      <c r="G14" s="6">
        <v>16</v>
      </c>
      <c r="H14" s="6">
        <v>3</v>
      </c>
      <c r="I14" s="6">
        <v>0.71</v>
      </c>
      <c r="J14" s="6"/>
      <c r="K14" s="33"/>
    </row>
    <row r="15" spans="1:11" x14ac:dyDescent="0.3">
      <c r="A15" s="6">
        <v>1</v>
      </c>
      <c r="B15" s="5">
        <v>8</v>
      </c>
      <c r="C15" s="6">
        <v>3</v>
      </c>
      <c r="D15" s="6">
        <v>6</v>
      </c>
      <c r="E15" s="6">
        <v>7</v>
      </c>
      <c r="F15" s="6">
        <v>88</v>
      </c>
      <c r="G15" s="6">
        <v>4</v>
      </c>
      <c r="H15" s="6">
        <v>1</v>
      </c>
      <c r="I15" s="6">
        <v>0.74</v>
      </c>
      <c r="J15" s="6"/>
      <c r="K15" s="33"/>
    </row>
    <row r="16" spans="1:11" x14ac:dyDescent="0.3">
      <c r="A16" s="6">
        <v>1</v>
      </c>
      <c r="B16" s="5">
        <v>9</v>
      </c>
      <c r="C16" s="6">
        <v>1</v>
      </c>
      <c r="D16" s="6">
        <v>6</v>
      </c>
      <c r="E16" s="6">
        <v>7</v>
      </c>
      <c r="F16" s="6">
        <v>91</v>
      </c>
      <c r="G16" s="6">
        <v>3</v>
      </c>
      <c r="H16" s="6">
        <v>1</v>
      </c>
      <c r="I16" s="6">
        <v>0.79</v>
      </c>
      <c r="J16" s="6"/>
      <c r="K16" s="33"/>
    </row>
    <row r="17" spans="1:11" x14ac:dyDescent="0.3">
      <c r="A17" s="6">
        <v>2</v>
      </c>
      <c r="B17" s="5">
        <v>10</v>
      </c>
      <c r="C17" s="6">
        <v>2</v>
      </c>
      <c r="D17" s="6">
        <v>6</v>
      </c>
      <c r="E17" s="6">
        <v>7</v>
      </c>
      <c r="F17" s="6">
        <v>90</v>
      </c>
      <c r="G17" s="6">
        <v>3</v>
      </c>
      <c r="H17" s="6">
        <v>2</v>
      </c>
      <c r="I17" s="6">
        <v>0.74</v>
      </c>
      <c r="J17" s="6"/>
      <c r="K17" s="33"/>
    </row>
    <row r="18" spans="1:11" x14ac:dyDescent="0.3">
      <c r="A18" s="6">
        <v>2</v>
      </c>
      <c r="B18" s="5">
        <v>11</v>
      </c>
      <c r="C18" s="6">
        <v>9</v>
      </c>
      <c r="D18" s="6">
        <v>6.5</v>
      </c>
      <c r="E18" s="6">
        <v>7</v>
      </c>
      <c r="F18" s="6">
        <v>92</v>
      </c>
      <c r="G18" s="6">
        <v>3</v>
      </c>
      <c r="H18" s="6">
        <v>2</v>
      </c>
      <c r="I18" s="6">
        <v>0.72</v>
      </c>
      <c r="J18" s="6"/>
      <c r="K18" s="33"/>
    </row>
    <row r="19" spans="1:11" x14ac:dyDescent="0.3">
      <c r="A19" s="6">
        <v>2</v>
      </c>
      <c r="B19" s="5">
        <v>12</v>
      </c>
      <c r="C19" s="6">
        <v>8</v>
      </c>
      <c r="D19" s="6">
        <v>6.5</v>
      </c>
      <c r="E19" s="7">
        <v>7.5</v>
      </c>
      <c r="F19" s="6">
        <v>94</v>
      </c>
      <c r="G19" s="6">
        <v>3</v>
      </c>
      <c r="H19" s="6">
        <v>1</v>
      </c>
      <c r="I19" s="6">
        <v>0.81</v>
      </c>
      <c r="J19" s="6"/>
      <c r="K19" s="33"/>
    </row>
    <row r="20" spans="1:11" x14ac:dyDescent="0.3">
      <c r="A20" s="6">
        <v>2</v>
      </c>
      <c r="B20" s="5">
        <v>13</v>
      </c>
      <c r="C20" s="6">
        <v>3</v>
      </c>
      <c r="D20" s="6">
        <v>6</v>
      </c>
      <c r="E20" s="6">
        <v>7</v>
      </c>
      <c r="F20" s="6">
        <v>89</v>
      </c>
      <c r="G20" s="6">
        <v>4</v>
      </c>
      <c r="H20" s="6">
        <v>2</v>
      </c>
      <c r="I20" s="6">
        <v>0.78</v>
      </c>
      <c r="J20" s="6"/>
      <c r="K20" s="33"/>
    </row>
    <row r="21" spans="1:11" x14ac:dyDescent="0.3">
      <c r="A21" s="6">
        <v>2</v>
      </c>
      <c r="B21" s="5">
        <v>14</v>
      </c>
      <c r="C21" s="6">
        <v>1</v>
      </c>
      <c r="D21" s="6">
        <v>6</v>
      </c>
      <c r="E21" s="6">
        <v>7</v>
      </c>
      <c r="F21" s="6">
        <v>88</v>
      </c>
      <c r="G21" s="6">
        <v>6</v>
      </c>
      <c r="H21" s="6">
        <v>2</v>
      </c>
      <c r="I21" s="6">
        <v>0.77</v>
      </c>
      <c r="J21" s="6"/>
      <c r="K21" s="33"/>
    </row>
    <row r="22" spans="1:11" x14ac:dyDescent="0.3">
      <c r="A22" s="6">
        <v>2</v>
      </c>
      <c r="B22" s="5">
        <v>15</v>
      </c>
      <c r="C22" s="6">
        <v>7</v>
      </c>
      <c r="D22" s="6">
        <v>5.5</v>
      </c>
      <c r="E22" s="6">
        <v>7</v>
      </c>
      <c r="F22" s="6">
        <v>82</v>
      </c>
      <c r="G22" s="6">
        <v>8</v>
      </c>
      <c r="H22" s="6">
        <v>2</v>
      </c>
      <c r="I22" s="6">
        <v>0.75</v>
      </c>
      <c r="J22" s="6"/>
      <c r="K22" s="33"/>
    </row>
    <row r="23" spans="1:11" x14ac:dyDescent="0.3">
      <c r="A23" s="6">
        <v>2</v>
      </c>
      <c r="B23" s="5">
        <v>16</v>
      </c>
      <c r="C23" s="6">
        <v>5</v>
      </c>
      <c r="D23" s="6">
        <v>5.5</v>
      </c>
      <c r="E23" s="6">
        <v>7</v>
      </c>
      <c r="F23" s="6">
        <v>87</v>
      </c>
      <c r="G23" s="6">
        <v>8</v>
      </c>
      <c r="H23" s="6">
        <v>2</v>
      </c>
      <c r="I23" s="6">
        <v>0.77</v>
      </c>
      <c r="J23" s="6"/>
      <c r="K23" s="33"/>
    </row>
    <row r="24" spans="1:11" x14ac:dyDescent="0.3">
      <c r="A24" s="6">
        <v>2</v>
      </c>
      <c r="B24" s="5">
        <v>17</v>
      </c>
      <c r="C24" s="6">
        <v>4</v>
      </c>
      <c r="D24" s="6">
        <v>5.5</v>
      </c>
      <c r="E24" s="6">
        <v>7</v>
      </c>
      <c r="F24" s="6">
        <v>85</v>
      </c>
      <c r="G24" s="6">
        <v>8</v>
      </c>
      <c r="H24" s="6">
        <v>2</v>
      </c>
      <c r="I24" s="6">
        <v>0.72</v>
      </c>
      <c r="J24" s="6"/>
      <c r="K24" s="33"/>
    </row>
    <row r="25" spans="1:11" x14ac:dyDescent="0.3">
      <c r="A25" s="6">
        <v>2</v>
      </c>
      <c r="B25" s="5">
        <v>18</v>
      </c>
      <c r="C25" s="6">
        <v>6</v>
      </c>
      <c r="D25" s="6">
        <v>6</v>
      </c>
      <c r="E25" s="6">
        <v>7</v>
      </c>
      <c r="F25" s="6">
        <v>92</v>
      </c>
      <c r="G25" s="6">
        <v>3</v>
      </c>
      <c r="H25" s="6">
        <v>1</v>
      </c>
      <c r="I25" s="6">
        <v>0.71</v>
      </c>
      <c r="J25" s="6"/>
      <c r="K25" s="33"/>
    </row>
    <row r="26" spans="1:11" x14ac:dyDescent="0.3">
      <c r="A26" s="6">
        <v>3</v>
      </c>
      <c r="B26" s="5">
        <v>19</v>
      </c>
      <c r="C26" s="6">
        <v>7</v>
      </c>
      <c r="D26" s="6">
        <v>6</v>
      </c>
      <c r="E26" s="6">
        <v>7</v>
      </c>
      <c r="F26" s="6">
        <v>92</v>
      </c>
      <c r="G26" s="6">
        <v>3</v>
      </c>
      <c r="H26" s="6">
        <v>1</v>
      </c>
      <c r="I26" s="6">
        <v>0.76</v>
      </c>
      <c r="J26" s="6"/>
      <c r="K26" s="33"/>
    </row>
    <row r="27" spans="1:11" x14ac:dyDescent="0.3">
      <c r="A27" s="6">
        <v>3</v>
      </c>
      <c r="B27" s="5">
        <v>20</v>
      </c>
      <c r="C27" s="6">
        <v>3</v>
      </c>
      <c r="D27" s="6">
        <v>6</v>
      </c>
      <c r="E27" s="6">
        <v>7</v>
      </c>
      <c r="F27" s="6">
        <v>91</v>
      </c>
      <c r="G27" s="6">
        <v>3</v>
      </c>
      <c r="H27" s="6">
        <v>1</v>
      </c>
      <c r="I27" s="6">
        <v>0.72</v>
      </c>
      <c r="J27" s="6"/>
      <c r="K27" s="33"/>
    </row>
    <row r="28" spans="1:11" x14ac:dyDescent="0.3">
      <c r="A28" s="6">
        <v>3</v>
      </c>
      <c r="B28" s="5">
        <v>21</v>
      </c>
      <c r="C28" s="6">
        <v>9</v>
      </c>
      <c r="D28" s="6">
        <v>6</v>
      </c>
      <c r="E28" s="6">
        <v>7</v>
      </c>
      <c r="F28" s="6">
        <v>88</v>
      </c>
      <c r="G28" s="6">
        <v>7</v>
      </c>
      <c r="H28" s="6">
        <v>2</v>
      </c>
      <c r="I28" s="6">
        <v>0.76</v>
      </c>
      <c r="J28" s="6"/>
      <c r="K28" s="33"/>
    </row>
    <row r="29" spans="1:11" x14ac:dyDescent="0.3">
      <c r="A29" s="6">
        <v>3</v>
      </c>
      <c r="B29" s="5">
        <v>22</v>
      </c>
      <c r="C29" s="6">
        <v>4</v>
      </c>
      <c r="D29" s="6">
        <v>5.5</v>
      </c>
      <c r="E29" s="6">
        <v>7</v>
      </c>
      <c r="F29" s="6">
        <v>86</v>
      </c>
      <c r="G29" s="6">
        <v>8</v>
      </c>
      <c r="H29" s="6">
        <v>2</v>
      </c>
      <c r="I29" s="6">
        <v>0.79</v>
      </c>
      <c r="J29" s="6"/>
      <c r="K29" s="33"/>
    </row>
    <row r="30" spans="1:11" x14ac:dyDescent="0.3">
      <c r="A30" s="6">
        <v>3</v>
      </c>
      <c r="B30" s="5">
        <v>23</v>
      </c>
      <c r="C30" s="6">
        <v>8</v>
      </c>
      <c r="D30" s="6">
        <v>4.5</v>
      </c>
      <c r="E30" s="6">
        <v>6.5</v>
      </c>
      <c r="F30" s="6">
        <v>79</v>
      </c>
      <c r="G30" s="6">
        <v>13</v>
      </c>
      <c r="H30" s="6">
        <v>3</v>
      </c>
      <c r="I30" s="6">
        <v>0.71</v>
      </c>
      <c r="J30" s="6"/>
      <c r="K30" s="33"/>
    </row>
    <row r="31" spans="1:11" x14ac:dyDescent="0.3">
      <c r="A31" s="6">
        <v>3</v>
      </c>
      <c r="B31" s="5">
        <v>24</v>
      </c>
      <c r="C31" s="6">
        <v>1</v>
      </c>
      <c r="D31" s="6">
        <v>5.5</v>
      </c>
      <c r="E31" s="6">
        <v>7</v>
      </c>
      <c r="F31" s="6">
        <v>83</v>
      </c>
      <c r="G31" s="6">
        <v>9</v>
      </c>
      <c r="H31" s="6">
        <v>2</v>
      </c>
      <c r="I31" s="6">
        <v>0.75</v>
      </c>
      <c r="J31" s="6"/>
      <c r="K31" s="33"/>
    </row>
    <row r="32" spans="1:11" x14ac:dyDescent="0.3">
      <c r="A32" s="6">
        <v>3</v>
      </c>
      <c r="B32" s="5">
        <v>25</v>
      </c>
      <c r="C32" s="6">
        <v>6</v>
      </c>
      <c r="D32" s="6">
        <v>5.5</v>
      </c>
      <c r="E32" s="6">
        <v>6.5</v>
      </c>
      <c r="F32" s="6">
        <v>82</v>
      </c>
      <c r="G32" s="6">
        <v>11</v>
      </c>
      <c r="H32" s="6">
        <v>2</v>
      </c>
      <c r="I32" s="6">
        <v>0.71</v>
      </c>
      <c r="J32" s="6"/>
      <c r="K32" s="33"/>
    </row>
    <row r="33" spans="1:11" x14ac:dyDescent="0.3">
      <c r="A33" s="6">
        <v>3</v>
      </c>
      <c r="B33" s="5">
        <v>26</v>
      </c>
      <c r="C33" s="6">
        <v>2</v>
      </c>
      <c r="D33" s="6">
        <v>6</v>
      </c>
      <c r="E33" s="6">
        <v>7</v>
      </c>
      <c r="F33" s="6">
        <v>86</v>
      </c>
      <c r="G33" s="6">
        <v>6</v>
      </c>
      <c r="H33" s="6">
        <v>2</v>
      </c>
      <c r="I33" s="6">
        <v>0.7</v>
      </c>
      <c r="J33" s="6"/>
      <c r="K33" s="33"/>
    </row>
    <row r="34" spans="1:11" x14ac:dyDescent="0.3">
      <c r="A34" s="6">
        <v>3</v>
      </c>
      <c r="B34" s="5">
        <v>27</v>
      </c>
      <c r="C34" s="6">
        <v>5</v>
      </c>
      <c r="D34" s="6">
        <v>5.5</v>
      </c>
      <c r="E34" s="6">
        <v>6.5</v>
      </c>
      <c r="F34" s="6">
        <v>84</v>
      </c>
      <c r="G34" s="6">
        <v>7</v>
      </c>
      <c r="H34" s="6">
        <v>2</v>
      </c>
      <c r="I34" s="6">
        <v>0.74</v>
      </c>
      <c r="J34" s="6"/>
      <c r="K34" s="33"/>
    </row>
    <row r="35" spans="1:11" x14ac:dyDescent="0.3">
      <c r="A35" s="6">
        <v>4</v>
      </c>
      <c r="B35" s="5">
        <v>28</v>
      </c>
      <c r="C35" s="9">
        <v>7</v>
      </c>
      <c r="D35" s="6">
        <v>6</v>
      </c>
      <c r="E35" s="6">
        <v>7</v>
      </c>
      <c r="F35" s="6">
        <v>87</v>
      </c>
      <c r="G35" s="6">
        <v>5</v>
      </c>
      <c r="H35" s="6">
        <v>2</v>
      </c>
      <c r="I35" s="6">
        <v>0.75</v>
      </c>
      <c r="J35" s="6"/>
      <c r="K35" s="33"/>
    </row>
    <row r="36" spans="1:11" x14ac:dyDescent="0.3">
      <c r="A36" s="6">
        <v>4</v>
      </c>
      <c r="B36" s="5">
        <v>29</v>
      </c>
      <c r="C36" s="6">
        <v>3</v>
      </c>
      <c r="D36" s="6">
        <v>6</v>
      </c>
      <c r="E36" s="6">
        <v>7</v>
      </c>
      <c r="F36" s="6">
        <v>92</v>
      </c>
      <c r="G36" s="6">
        <v>3</v>
      </c>
      <c r="H36" s="6">
        <v>1</v>
      </c>
      <c r="I36" s="6">
        <v>0.78</v>
      </c>
      <c r="J36" s="6"/>
      <c r="K36" s="33"/>
    </row>
    <row r="37" spans="1:11" x14ac:dyDescent="0.3">
      <c r="A37" s="6">
        <v>4</v>
      </c>
      <c r="B37" s="5">
        <v>30</v>
      </c>
      <c r="C37" s="6">
        <v>4</v>
      </c>
      <c r="D37" s="6">
        <v>6</v>
      </c>
      <c r="E37" s="6">
        <v>7</v>
      </c>
      <c r="F37" s="6">
        <v>89</v>
      </c>
      <c r="G37" s="6">
        <v>6</v>
      </c>
      <c r="H37" s="6">
        <v>1</v>
      </c>
      <c r="I37" s="6">
        <v>0.76</v>
      </c>
      <c r="J37" s="6"/>
      <c r="K37" s="33"/>
    </row>
    <row r="38" spans="1:11" x14ac:dyDescent="0.3">
      <c r="A38" s="6">
        <v>4</v>
      </c>
      <c r="B38" s="5">
        <v>31</v>
      </c>
      <c r="C38" s="6">
        <v>6</v>
      </c>
      <c r="D38" s="6">
        <v>5.5</v>
      </c>
      <c r="E38" s="6">
        <v>6.5</v>
      </c>
      <c r="F38" s="6">
        <v>82</v>
      </c>
      <c r="G38" s="6">
        <v>9</v>
      </c>
      <c r="H38" s="6">
        <v>2</v>
      </c>
      <c r="I38" s="6">
        <v>0.75</v>
      </c>
      <c r="J38" s="6"/>
      <c r="K38" s="33"/>
    </row>
    <row r="39" spans="1:11" x14ac:dyDescent="0.3">
      <c r="A39" s="6">
        <v>4</v>
      </c>
      <c r="B39" s="5">
        <v>32</v>
      </c>
      <c r="C39" s="6">
        <v>5</v>
      </c>
      <c r="D39" s="6">
        <v>6</v>
      </c>
      <c r="E39" s="6">
        <v>7</v>
      </c>
      <c r="F39" s="6">
        <v>85</v>
      </c>
      <c r="G39" s="6">
        <v>9</v>
      </c>
      <c r="H39" s="6">
        <v>2</v>
      </c>
      <c r="I39" s="6">
        <v>0.74</v>
      </c>
      <c r="J39" s="6"/>
      <c r="K39" s="33"/>
    </row>
    <row r="40" spans="1:11" x14ac:dyDescent="0.3">
      <c r="A40" s="6">
        <v>4</v>
      </c>
      <c r="B40" s="5">
        <v>33</v>
      </c>
      <c r="C40" s="6">
        <v>9</v>
      </c>
      <c r="D40" s="6">
        <v>6</v>
      </c>
      <c r="E40" s="6">
        <v>6.5</v>
      </c>
      <c r="F40" s="6">
        <v>80</v>
      </c>
      <c r="G40" s="6">
        <v>10</v>
      </c>
      <c r="H40" s="6">
        <v>1</v>
      </c>
      <c r="I40" s="6">
        <v>0.76</v>
      </c>
      <c r="J40" s="6"/>
      <c r="K40" s="33"/>
    </row>
    <row r="41" spans="1:11" x14ac:dyDescent="0.3">
      <c r="A41" s="6">
        <v>4</v>
      </c>
      <c r="B41" s="5">
        <v>34</v>
      </c>
      <c r="C41" s="6">
        <v>2</v>
      </c>
      <c r="D41" s="6">
        <v>5.5</v>
      </c>
      <c r="E41" s="6">
        <v>6.5</v>
      </c>
      <c r="F41" s="6">
        <v>81</v>
      </c>
      <c r="G41" s="6">
        <v>11</v>
      </c>
      <c r="H41" s="6">
        <v>2</v>
      </c>
      <c r="I41" s="6">
        <v>0.73</v>
      </c>
      <c r="J41" s="6"/>
      <c r="K41" s="33"/>
    </row>
    <row r="42" spans="1:11" x14ac:dyDescent="0.3">
      <c r="A42" s="6">
        <v>4</v>
      </c>
      <c r="B42" s="5">
        <v>35</v>
      </c>
      <c r="C42" s="6">
        <v>1</v>
      </c>
      <c r="D42" s="6">
        <v>5</v>
      </c>
      <c r="E42" s="6">
        <v>6.5</v>
      </c>
      <c r="F42" s="6">
        <v>78</v>
      </c>
      <c r="G42" s="6">
        <v>13</v>
      </c>
      <c r="H42" s="6">
        <v>2</v>
      </c>
      <c r="I42" s="6">
        <v>0.72</v>
      </c>
      <c r="J42" s="6"/>
      <c r="K42" s="33"/>
    </row>
    <row r="43" spans="1:11" x14ac:dyDescent="0.3">
      <c r="A43" s="7">
        <v>4</v>
      </c>
      <c r="B43" s="5">
        <v>36</v>
      </c>
      <c r="C43" s="6">
        <v>8</v>
      </c>
      <c r="D43" s="7">
        <v>5.5</v>
      </c>
      <c r="E43" s="7">
        <v>6.5</v>
      </c>
      <c r="F43" s="7">
        <v>85</v>
      </c>
      <c r="G43" s="7">
        <v>10</v>
      </c>
      <c r="H43" s="7">
        <v>2</v>
      </c>
      <c r="I43" s="7">
        <v>0.72</v>
      </c>
      <c r="J43" s="8"/>
      <c r="K43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workbookViewId="0">
      <selection activeCell="K7" sqref="K7"/>
    </sheetView>
  </sheetViews>
  <sheetFormatPr defaultRowHeight="14.4" x14ac:dyDescent="0.3"/>
  <cols>
    <col min="1" max="1" width="9.88671875" bestFit="1" customWidth="1"/>
    <col min="3" max="3" width="12.88671875" customWidth="1"/>
  </cols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23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22</v>
      </c>
    </row>
    <row r="5" spans="1:11" x14ac:dyDescent="0.3">
      <c r="A5" t="s">
        <v>5</v>
      </c>
      <c r="B5" t="s">
        <v>17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>
        <v>6</v>
      </c>
      <c r="E8" s="6">
        <v>7</v>
      </c>
      <c r="F8" s="6">
        <v>86</v>
      </c>
      <c r="G8" s="6">
        <v>1</v>
      </c>
      <c r="H8" s="6">
        <v>2</v>
      </c>
      <c r="I8" s="6">
        <v>0.73</v>
      </c>
      <c r="J8" s="6"/>
      <c r="K8" s="36">
        <f>(($G$16-G8)/$G$16)*100</f>
        <v>80</v>
      </c>
    </row>
    <row r="9" spans="1:11" x14ac:dyDescent="0.3">
      <c r="A9" s="6">
        <v>1</v>
      </c>
      <c r="B9" s="5">
        <v>2</v>
      </c>
      <c r="C9" s="6">
        <v>5</v>
      </c>
      <c r="D9" s="6">
        <v>5</v>
      </c>
      <c r="E9" s="6">
        <v>6.5</v>
      </c>
      <c r="F9" s="6">
        <v>85</v>
      </c>
      <c r="G9" s="6">
        <v>7</v>
      </c>
      <c r="H9" s="6">
        <v>2</v>
      </c>
      <c r="I9" s="6">
        <v>0.7</v>
      </c>
      <c r="J9" s="6"/>
      <c r="K9" s="34">
        <f t="shared" ref="K9:K16" si="0">(($G$16-G9)/$G$16)*100</f>
        <v>-40</v>
      </c>
    </row>
    <row r="10" spans="1:11" x14ac:dyDescent="0.3">
      <c r="A10" s="6">
        <v>1</v>
      </c>
      <c r="B10" s="5">
        <v>3</v>
      </c>
      <c r="C10" s="6">
        <v>4</v>
      </c>
      <c r="D10" s="6">
        <v>4.5</v>
      </c>
      <c r="E10" s="6">
        <v>5.5</v>
      </c>
      <c r="F10" s="6">
        <v>81</v>
      </c>
      <c r="G10" s="6">
        <v>14</v>
      </c>
      <c r="H10" s="6">
        <v>2</v>
      </c>
      <c r="I10" s="6">
        <v>0.75</v>
      </c>
      <c r="J10" s="6"/>
      <c r="K10" s="34">
        <f t="shared" si="0"/>
        <v>-180</v>
      </c>
    </row>
    <row r="11" spans="1:11" x14ac:dyDescent="0.3">
      <c r="A11" s="6">
        <v>1</v>
      </c>
      <c r="B11" s="5">
        <v>4</v>
      </c>
      <c r="C11" s="6">
        <v>7</v>
      </c>
      <c r="D11" s="6">
        <v>4.5</v>
      </c>
      <c r="E11" s="6">
        <v>6.5</v>
      </c>
      <c r="F11" s="6">
        <v>85</v>
      </c>
      <c r="G11" s="6">
        <v>11</v>
      </c>
      <c r="H11" s="6">
        <v>2</v>
      </c>
      <c r="I11" s="6">
        <v>0.7</v>
      </c>
      <c r="J11" s="6"/>
      <c r="K11" s="34">
        <f t="shared" si="0"/>
        <v>-120</v>
      </c>
    </row>
    <row r="12" spans="1:11" x14ac:dyDescent="0.3">
      <c r="A12" s="6">
        <v>1</v>
      </c>
      <c r="B12" s="5">
        <v>5</v>
      </c>
      <c r="C12" s="6">
        <v>2</v>
      </c>
      <c r="D12" s="6">
        <v>4.5</v>
      </c>
      <c r="E12" s="6">
        <v>6.5</v>
      </c>
      <c r="F12" s="6">
        <v>83</v>
      </c>
      <c r="G12" s="6">
        <v>9</v>
      </c>
      <c r="H12" s="6">
        <v>2</v>
      </c>
      <c r="I12" s="6">
        <v>0.73</v>
      </c>
      <c r="J12" s="6"/>
      <c r="K12" s="34">
        <f t="shared" si="0"/>
        <v>-80</v>
      </c>
    </row>
    <row r="13" spans="1:11" x14ac:dyDescent="0.3">
      <c r="A13" s="6">
        <v>1</v>
      </c>
      <c r="B13" s="5">
        <v>6</v>
      </c>
      <c r="C13" s="6">
        <v>6</v>
      </c>
      <c r="D13" s="6">
        <v>3.5</v>
      </c>
      <c r="E13" s="6">
        <v>5</v>
      </c>
      <c r="F13" s="6">
        <v>71</v>
      </c>
      <c r="G13" s="6">
        <v>25</v>
      </c>
      <c r="H13" s="6">
        <v>3</v>
      </c>
      <c r="I13" s="6">
        <v>0.64</v>
      </c>
      <c r="J13" s="6"/>
      <c r="K13" s="34">
        <f t="shared" si="0"/>
        <v>-400</v>
      </c>
    </row>
    <row r="14" spans="1:11" x14ac:dyDescent="0.3">
      <c r="A14" s="6">
        <v>1</v>
      </c>
      <c r="B14" s="5">
        <v>7</v>
      </c>
      <c r="C14" s="6">
        <v>8</v>
      </c>
      <c r="D14" s="6">
        <v>3.5</v>
      </c>
      <c r="E14" s="6">
        <v>4.5</v>
      </c>
      <c r="F14" s="6">
        <v>67</v>
      </c>
      <c r="G14" s="6">
        <v>28</v>
      </c>
      <c r="H14" s="6">
        <v>3</v>
      </c>
      <c r="I14" s="6">
        <v>0.6</v>
      </c>
      <c r="J14" s="6"/>
      <c r="K14" s="34">
        <f t="shared" si="0"/>
        <v>-459.99999999999994</v>
      </c>
    </row>
    <row r="15" spans="1:11" x14ac:dyDescent="0.3">
      <c r="A15" s="6">
        <v>1</v>
      </c>
      <c r="B15" s="5">
        <v>8</v>
      </c>
      <c r="C15" s="6">
        <v>3</v>
      </c>
      <c r="D15" s="6">
        <v>5.5</v>
      </c>
      <c r="E15" s="6">
        <v>6.5</v>
      </c>
      <c r="F15" s="6">
        <v>88</v>
      </c>
      <c r="G15" s="6">
        <v>5</v>
      </c>
      <c r="H15" s="6">
        <v>1</v>
      </c>
      <c r="I15" s="6">
        <v>0.73</v>
      </c>
      <c r="J15" s="6"/>
      <c r="K15" s="34">
        <f t="shared" si="0"/>
        <v>0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>
        <v>6</v>
      </c>
      <c r="E16" s="10">
        <v>6.5</v>
      </c>
      <c r="F16" s="10">
        <v>88</v>
      </c>
      <c r="G16" s="10">
        <v>5</v>
      </c>
      <c r="H16" s="10">
        <v>1</v>
      </c>
      <c r="I16" s="10">
        <v>0.76</v>
      </c>
      <c r="J16" s="10"/>
      <c r="K16" s="38">
        <f t="shared" si="0"/>
        <v>0</v>
      </c>
    </row>
    <row r="17" spans="1:11" x14ac:dyDescent="0.3">
      <c r="A17" s="5">
        <v>2</v>
      </c>
      <c r="B17" s="5">
        <v>10</v>
      </c>
      <c r="C17" s="5">
        <v>2</v>
      </c>
      <c r="D17" s="5">
        <v>5.5</v>
      </c>
      <c r="E17" s="5">
        <v>6.5</v>
      </c>
      <c r="F17" s="5">
        <v>90</v>
      </c>
      <c r="G17" s="5">
        <v>4</v>
      </c>
      <c r="H17" s="5">
        <v>2</v>
      </c>
      <c r="I17" s="5">
        <v>0.71</v>
      </c>
      <c r="J17" s="5"/>
      <c r="K17" s="36">
        <f>(($G$21-G17)/$G$21)*100</f>
        <v>60</v>
      </c>
    </row>
    <row r="18" spans="1:11" x14ac:dyDescent="0.3">
      <c r="A18" s="6">
        <v>2</v>
      </c>
      <c r="B18" s="5">
        <v>11</v>
      </c>
      <c r="C18" s="6">
        <v>9</v>
      </c>
      <c r="D18" s="6">
        <v>6</v>
      </c>
      <c r="E18" s="6">
        <v>7</v>
      </c>
      <c r="F18" s="6">
        <v>92</v>
      </c>
      <c r="G18" s="6">
        <v>1</v>
      </c>
      <c r="H18" s="6">
        <v>1</v>
      </c>
      <c r="I18" s="6">
        <v>0.75</v>
      </c>
      <c r="J18" s="6"/>
      <c r="K18" s="34">
        <f t="shared" ref="K18:K25" si="1">(($G$21-G18)/$G$21)*100</f>
        <v>90</v>
      </c>
    </row>
    <row r="19" spans="1:11" x14ac:dyDescent="0.3">
      <c r="A19" s="6">
        <v>2</v>
      </c>
      <c r="B19" s="5">
        <v>12</v>
      </c>
      <c r="C19" s="6">
        <v>8</v>
      </c>
      <c r="D19" s="6">
        <v>5.5</v>
      </c>
      <c r="E19" s="7">
        <v>7</v>
      </c>
      <c r="F19" s="6">
        <v>93</v>
      </c>
      <c r="G19" s="6">
        <v>5</v>
      </c>
      <c r="H19" s="6">
        <v>1</v>
      </c>
      <c r="I19" s="6">
        <v>0.76</v>
      </c>
      <c r="J19" s="6"/>
      <c r="K19" s="34">
        <f t="shared" si="1"/>
        <v>50</v>
      </c>
    </row>
    <row r="20" spans="1:11" x14ac:dyDescent="0.3">
      <c r="A20" s="6">
        <v>2</v>
      </c>
      <c r="B20" s="5">
        <v>13</v>
      </c>
      <c r="C20" s="6">
        <v>3</v>
      </c>
      <c r="D20" s="6">
        <v>5.5</v>
      </c>
      <c r="E20" s="6">
        <v>6.5</v>
      </c>
      <c r="F20" s="6">
        <v>89</v>
      </c>
      <c r="G20" s="6">
        <v>6</v>
      </c>
      <c r="H20" s="6">
        <v>2</v>
      </c>
      <c r="I20" s="6">
        <v>0.73</v>
      </c>
      <c r="J20" s="6"/>
      <c r="K20" s="34">
        <f t="shared" si="1"/>
        <v>40</v>
      </c>
    </row>
    <row r="21" spans="1:11" x14ac:dyDescent="0.3">
      <c r="A21" s="6">
        <v>2</v>
      </c>
      <c r="B21" s="5">
        <v>14</v>
      </c>
      <c r="C21" s="6">
        <v>1</v>
      </c>
      <c r="D21" s="6">
        <v>4.5</v>
      </c>
      <c r="E21" s="6">
        <v>6</v>
      </c>
      <c r="F21" s="6">
        <v>84</v>
      </c>
      <c r="G21" s="6">
        <v>10</v>
      </c>
      <c r="H21" s="6">
        <v>2</v>
      </c>
      <c r="I21" s="6">
        <v>0.73</v>
      </c>
      <c r="J21" s="6"/>
      <c r="K21" s="34">
        <f t="shared" si="1"/>
        <v>0</v>
      </c>
    </row>
    <row r="22" spans="1:11" x14ac:dyDescent="0.3">
      <c r="A22" s="6">
        <v>2</v>
      </c>
      <c r="B22" s="5">
        <v>15</v>
      </c>
      <c r="C22" s="6">
        <v>7</v>
      </c>
      <c r="D22" s="6">
        <v>4</v>
      </c>
      <c r="E22" s="6">
        <v>6</v>
      </c>
      <c r="F22" s="6">
        <v>78</v>
      </c>
      <c r="G22" s="6">
        <v>16</v>
      </c>
      <c r="H22" s="6">
        <v>2</v>
      </c>
      <c r="I22" s="6">
        <v>0.67</v>
      </c>
      <c r="J22" s="6"/>
      <c r="K22" s="34">
        <f t="shared" si="1"/>
        <v>-60</v>
      </c>
    </row>
    <row r="23" spans="1:11" x14ac:dyDescent="0.3">
      <c r="A23" s="6">
        <v>2</v>
      </c>
      <c r="B23" s="5">
        <v>16</v>
      </c>
      <c r="C23" s="6">
        <v>5</v>
      </c>
      <c r="D23" s="6">
        <v>4.5</v>
      </c>
      <c r="E23" s="6">
        <v>6.5</v>
      </c>
      <c r="F23" s="6">
        <v>83</v>
      </c>
      <c r="G23" s="6">
        <v>12</v>
      </c>
      <c r="H23" s="6">
        <v>2</v>
      </c>
      <c r="I23" s="6">
        <v>0.71</v>
      </c>
      <c r="J23" s="6"/>
      <c r="K23" s="34">
        <f t="shared" si="1"/>
        <v>-20</v>
      </c>
    </row>
    <row r="24" spans="1:11" x14ac:dyDescent="0.3">
      <c r="A24" s="6">
        <v>2</v>
      </c>
      <c r="B24" s="5">
        <v>17</v>
      </c>
      <c r="C24" s="6">
        <v>4</v>
      </c>
      <c r="D24" s="6">
        <v>5.5</v>
      </c>
      <c r="E24" s="6">
        <v>6.5</v>
      </c>
      <c r="F24" s="6">
        <v>85</v>
      </c>
      <c r="G24" s="6">
        <v>7</v>
      </c>
      <c r="H24" s="6">
        <v>2</v>
      </c>
      <c r="I24" s="6">
        <v>0.74</v>
      </c>
      <c r="J24" s="6"/>
      <c r="K24" s="34">
        <f t="shared" si="1"/>
        <v>30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>
        <v>5.5</v>
      </c>
      <c r="E25" s="10">
        <v>6</v>
      </c>
      <c r="F25" s="10">
        <v>89</v>
      </c>
      <c r="G25" s="10">
        <v>5</v>
      </c>
      <c r="H25" s="10">
        <v>1</v>
      </c>
      <c r="I25" s="10">
        <v>0.69</v>
      </c>
      <c r="J25" s="10"/>
      <c r="K25" s="38">
        <f t="shared" si="1"/>
        <v>50</v>
      </c>
    </row>
    <row r="26" spans="1:11" x14ac:dyDescent="0.3">
      <c r="A26" s="5">
        <v>3</v>
      </c>
      <c r="B26" s="5">
        <v>19</v>
      </c>
      <c r="C26" s="5">
        <v>7</v>
      </c>
      <c r="D26" s="5">
        <v>5.5</v>
      </c>
      <c r="E26" s="5">
        <v>6.5</v>
      </c>
      <c r="F26" s="5">
        <v>92</v>
      </c>
      <c r="G26" s="5">
        <v>4</v>
      </c>
      <c r="H26" s="5">
        <v>1</v>
      </c>
      <c r="I26" s="5">
        <v>0.71</v>
      </c>
      <c r="J26" s="5"/>
      <c r="K26" s="36">
        <f>(($G$31-G26)/$G$31)*100</f>
        <v>73.333333333333329</v>
      </c>
    </row>
    <row r="27" spans="1:11" x14ac:dyDescent="0.3">
      <c r="A27" s="6">
        <v>3</v>
      </c>
      <c r="B27" s="5">
        <v>20</v>
      </c>
      <c r="C27" s="6">
        <v>3</v>
      </c>
      <c r="D27" s="6">
        <v>5.5</v>
      </c>
      <c r="E27" s="6">
        <v>6.5</v>
      </c>
      <c r="F27" s="6">
        <v>91</v>
      </c>
      <c r="G27" s="6">
        <v>4</v>
      </c>
      <c r="H27" s="6">
        <v>1</v>
      </c>
      <c r="I27" s="6">
        <v>0.71</v>
      </c>
      <c r="J27" s="6"/>
      <c r="K27" s="34">
        <f t="shared" ref="K27:K34" si="2">(($G$31-G27)/$G$31)*100</f>
        <v>73.333333333333329</v>
      </c>
    </row>
    <row r="28" spans="1:11" x14ac:dyDescent="0.3">
      <c r="A28" s="6">
        <v>3</v>
      </c>
      <c r="B28" s="5">
        <v>21</v>
      </c>
      <c r="C28" s="6">
        <v>9</v>
      </c>
      <c r="D28" s="6">
        <v>6</v>
      </c>
      <c r="E28" s="6">
        <v>6.5</v>
      </c>
      <c r="F28" s="6">
        <v>88</v>
      </c>
      <c r="G28" s="6">
        <v>5</v>
      </c>
      <c r="H28" s="6">
        <v>2</v>
      </c>
      <c r="I28" s="6">
        <v>0.75</v>
      </c>
      <c r="J28" s="6"/>
      <c r="K28" s="34">
        <f t="shared" si="2"/>
        <v>66.666666666666657</v>
      </c>
    </row>
    <row r="29" spans="1:11" x14ac:dyDescent="0.3">
      <c r="A29" s="6">
        <v>3</v>
      </c>
      <c r="B29" s="5">
        <v>22</v>
      </c>
      <c r="C29" s="6">
        <v>4</v>
      </c>
      <c r="D29" s="6">
        <v>4.5</v>
      </c>
      <c r="E29" s="6">
        <v>6</v>
      </c>
      <c r="F29" s="6">
        <v>82</v>
      </c>
      <c r="G29" s="6">
        <v>15</v>
      </c>
      <c r="H29" s="6">
        <v>2</v>
      </c>
      <c r="I29" s="6">
        <v>0.77</v>
      </c>
      <c r="J29" s="6"/>
      <c r="K29" s="34">
        <f t="shared" si="2"/>
        <v>0</v>
      </c>
    </row>
    <row r="30" spans="1:11" x14ac:dyDescent="0.3">
      <c r="A30" s="6">
        <v>3</v>
      </c>
      <c r="B30" s="5">
        <v>23</v>
      </c>
      <c r="C30" s="6">
        <v>8</v>
      </c>
      <c r="D30" s="6">
        <v>3.5</v>
      </c>
      <c r="E30" s="6">
        <v>5</v>
      </c>
      <c r="F30" s="6">
        <v>68</v>
      </c>
      <c r="G30" s="6">
        <v>23</v>
      </c>
      <c r="H30" s="6">
        <v>3</v>
      </c>
      <c r="I30" s="6">
        <v>0.64</v>
      </c>
      <c r="J30" s="6"/>
      <c r="K30" s="34">
        <f t="shared" si="2"/>
        <v>-53.333333333333336</v>
      </c>
    </row>
    <row r="31" spans="1:11" x14ac:dyDescent="0.3">
      <c r="A31" s="6">
        <v>3</v>
      </c>
      <c r="B31" s="5">
        <v>24</v>
      </c>
      <c r="C31" s="6">
        <v>1</v>
      </c>
      <c r="D31" s="6">
        <v>4.5</v>
      </c>
      <c r="E31" s="6">
        <v>6</v>
      </c>
      <c r="F31" s="6">
        <v>82</v>
      </c>
      <c r="G31" s="6">
        <v>15</v>
      </c>
      <c r="H31" s="6">
        <v>2</v>
      </c>
      <c r="I31" s="6">
        <v>0.68</v>
      </c>
      <c r="J31" s="6"/>
      <c r="K31" s="34">
        <f t="shared" si="2"/>
        <v>0</v>
      </c>
    </row>
    <row r="32" spans="1:11" x14ac:dyDescent="0.3">
      <c r="A32" s="6">
        <v>3</v>
      </c>
      <c r="B32" s="5">
        <v>25</v>
      </c>
      <c r="C32" s="6">
        <v>6</v>
      </c>
      <c r="D32" s="6">
        <v>4</v>
      </c>
      <c r="E32" s="6">
        <v>5.5</v>
      </c>
      <c r="F32" s="6">
        <v>78</v>
      </c>
      <c r="G32" s="6">
        <v>19</v>
      </c>
      <c r="H32" s="6">
        <v>2</v>
      </c>
      <c r="I32" s="6">
        <v>0.63</v>
      </c>
      <c r="J32" s="6"/>
      <c r="K32" s="34">
        <f t="shared" si="2"/>
        <v>-26.666666666666668</v>
      </c>
    </row>
    <row r="33" spans="1:11" x14ac:dyDescent="0.3">
      <c r="A33" s="6">
        <v>3</v>
      </c>
      <c r="B33" s="5">
        <v>26</v>
      </c>
      <c r="C33" s="6">
        <v>2</v>
      </c>
      <c r="D33" s="6">
        <v>5.5</v>
      </c>
      <c r="E33" s="6">
        <v>6.5</v>
      </c>
      <c r="F33" s="6">
        <v>86</v>
      </c>
      <c r="G33" s="6">
        <v>7</v>
      </c>
      <c r="H33" s="6">
        <v>2</v>
      </c>
      <c r="I33" s="6">
        <v>0.69</v>
      </c>
      <c r="J33" s="6"/>
      <c r="K33" s="34">
        <f t="shared" si="2"/>
        <v>53.333333333333336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>
        <v>5</v>
      </c>
      <c r="E34" s="10">
        <v>6.5</v>
      </c>
      <c r="F34" s="10">
        <v>84</v>
      </c>
      <c r="G34" s="10">
        <v>9</v>
      </c>
      <c r="H34" s="10">
        <v>2</v>
      </c>
      <c r="I34" s="10">
        <v>0.69</v>
      </c>
      <c r="J34" s="10"/>
      <c r="K34" s="38">
        <f t="shared" si="2"/>
        <v>40</v>
      </c>
    </row>
    <row r="35" spans="1:11" x14ac:dyDescent="0.3">
      <c r="A35" s="5">
        <v>4</v>
      </c>
      <c r="B35" s="5">
        <v>28</v>
      </c>
      <c r="C35" s="9">
        <v>7</v>
      </c>
      <c r="D35" s="5">
        <v>5</v>
      </c>
      <c r="E35" s="5">
        <v>6.5</v>
      </c>
      <c r="F35" s="5">
        <v>87</v>
      </c>
      <c r="G35" s="5">
        <v>9</v>
      </c>
      <c r="H35" s="5">
        <v>2</v>
      </c>
      <c r="I35" s="5">
        <v>0.68</v>
      </c>
      <c r="J35" s="5"/>
      <c r="K35" s="36">
        <f>(($G$42-G35)/$G$42)*100</f>
        <v>40</v>
      </c>
    </row>
    <row r="36" spans="1:11" x14ac:dyDescent="0.3">
      <c r="A36" s="6">
        <v>4</v>
      </c>
      <c r="B36" s="5">
        <v>29</v>
      </c>
      <c r="C36" s="6">
        <v>3</v>
      </c>
      <c r="D36" s="6">
        <v>6</v>
      </c>
      <c r="E36" s="6">
        <v>7</v>
      </c>
      <c r="F36" s="6">
        <v>92</v>
      </c>
      <c r="G36" s="6">
        <v>2</v>
      </c>
      <c r="H36" s="6">
        <v>1</v>
      </c>
      <c r="I36" s="6">
        <v>0.77</v>
      </c>
      <c r="J36" s="6"/>
      <c r="K36" s="34">
        <f t="shared" ref="K36:K43" si="3">(($G$42-G36)/$G$42)*100</f>
        <v>86.666666666666671</v>
      </c>
    </row>
    <row r="37" spans="1:11" x14ac:dyDescent="0.3">
      <c r="A37" s="6">
        <v>4</v>
      </c>
      <c r="B37" s="5">
        <v>30</v>
      </c>
      <c r="C37" s="6">
        <v>4</v>
      </c>
      <c r="D37" s="6">
        <v>5.5</v>
      </c>
      <c r="E37" s="6">
        <v>6.5</v>
      </c>
      <c r="F37" s="6">
        <v>89</v>
      </c>
      <c r="G37" s="6">
        <v>7</v>
      </c>
      <c r="H37" s="6">
        <v>1</v>
      </c>
      <c r="I37" s="6">
        <v>0.78</v>
      </c>
      <c r="J37" s="6"/>
      <c r="K37" s="34">
        <f t="shared" si="3"/>
        <v>53.333333333333336</v>
      </c>
    </row>
    <row r="38" spans="1:11" x14ac:dyDescent="0.3">
      <c r="A38" s="6">
        <v>4</v>
      </c>
      <c r="B38" s="5">
        <v>31</v>
      </c>
      <c r="C38" s="6">
        <v>6</v>
      </c>
      <c r="D38" s="6">
        <v>4.5</v>
      </c>
      <c r="E38" s="6">
        <v>6</v>
      </c>
      <c r="F38" s="6">
        <v>82</v>
      </c>
      <c r="G38" s="6">
        <v>12</v>
      </c>
      <c r="H38" s="6">
        <v>2</v>
      </c>
      <c r="I38" s="6">
        <v>0.75</v>
      </c>
      <c r="J38" s="6"/>
      <c r="K38" s="34">
        <f t="shared" si="3"/>
        <v>20</v>
      </c>
    </row>
    <row r="39" spans="1:11" x14ac:dyDescent="0.3">
      <c r="A39" s="6">
        <v>4</v>
      </c>
      <c r="B39" s="5">
        <v>32</v>
      </c>
      <c r="C39" s="6">
        <v>5</v>
      </c>
      <c r="D39" s="6">
        <v>5</v>
      </c>
      <c r="E39" s="6">
        <v>5.5</v>
      </c>
      <c r="F39" s="6">
        <v>85</v>
      </c>
      <c r="G39" s="6">
        <v>9</v>
      </c>
      <c r="H39" s="6">
        <v>2</v>
      </c>
      <c r="I39" s="6">
        <v>0.69</v>
      </c>
      <c r="J39" s="6"/>
      <c r="K39" s="34">
        <f t="shared" si="3"/>
        <v>40</v>
      </c>
    </row>
    <row r="40" spans="1:11" x14ac:dyDescent="0.3">
      <c r="A40" s="6">
        <v>4</v>
      </c>
      <c r="B40" s="5">
        <v>33</v>
      </c>
      <c r="C40" s="6">
        <v>9</v>
      </c>
      <c r="D40" s="6">
        <v>6</v>
      </c>
      <c r="E40" s="6">
        <v>6.5</v>
      </c>
      <c r="F40" s="6">
        <v>92</v>
      </c>
      <c r="G40" s="6">
        <v>2</v>
      </c>
      <c r="H40" s="6">
        <v>1</v>
      </c>
      <c r="I40" s="6">
        <v>0.76</v>
      </c>
      <c r="J40" s="6"/>
      <c r="K40" s="34">
        <f t="shared" si="3"/>
        <v>86.666666666666671</v>
      </c>
    </row>
    <row r="41" spans="1:11" x14ac:dyDescent="0.3">
      <c r="A41" s="6">
        <v>4</v>
      </c>
      <c r="B41" s="5">
        <v>34</v>
      </c>
      <c r="C41" s="6">
        <v>2</v>
      </c>
      <c r="D41" s="6">
        <v>4.5</v>
      </c>
      <c r="E41" s="6">
        <v>5.5</v>
      </c>
      <c r="F41" s="6">
        <v>81</v>
      </c>
      <c r="G41" s="6">
        <v>17</v>
      </c>
      <c r="H41" s="6">
        <v>2</v>
      </c>
      <c r="I41" s="6">
        <v>0.67</v>
      </c>
      <c r="J41" s="6"/>
      <c r="K41" s="34">
        <f t="shared" si="3"/>
        <v>-13.333333333333334</v>
      </c>
    </row>
    <row r="42" spans="1:11" x14ac:dyDescent="0.3">
      <c r="A42" s="6">
        <v>4</v>
      </c>
      <c r="B42" s="5">
        <v>35</v>
      </c>
      <c r="C42" s="6">
        <v>1</v>
      </c>
      <c r="D42" s="6">
        <v>4.5</v>
      </c>
      <c r="E42" s="6">
        <v>6</v>
      </c>
      <c r="F42" s="6">
        <v>78</v>
      </c>
      <c r="G42" s="6">
        <v>15</v>
      </c>
      <c r="H42" s="6">
        <v>2</v>
      </c>
      <c r="I42" s="6">
        <v>0.69</v>
      </c>
      <c r="J42" s="6"/>
      <c r="K42" s="34">
        <f t="shared" si="3"/>
        <v>0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>
        <v>5.5</v>
      </c>
      <c r="E43" s="11">
        <v>6</v>
      </c>
      <c r="F43" s="11">
        <v>85</v>
      </c>
      <c r="G43" s="11">
        <v>10</v>
      </c>
      <c r="H43" s="11">
        <v>2</v>
      </c>
      <c r="I43" s="11">
        <v>0.69</v>
      </c>
      <c r="J43" s="39"/>
      <c r="K43" s="38">
        <f t="shared" si="3"/>
        <v>33.333333333333329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workbookViewId="0">
      <selection activeCell="K7" sqref="K7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25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  <c r="B5" t="s">
        <v>17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>
        <v>6</v>
      </c>
      <c r="E8" s="6">
        <v>6.5</v>
      </c>
      <c r="F8" s="6">
        <v>82</v>
      </c>
      <c r="G8" s="6">
        <v>0</v>
      </c>
      <c r="H8" s="6">
        <v>2</v>
      </c>
      <c r="I8" s="6">
        <v>0.71</v>
      </c>
      <c r="J8" s="6"/>
      <c r="K8" s="36">
        <f>(($G$16-G8)/$G$16)*100</f>
        <v>100</v>
      </c>
    </row>
    <row r="9" spans="1:11" x14ac:dyDescent="0.3">
      <c r="A9" s="6">
        <v>1</v>
      </c>
      <c r="B9" s="5">
        <v>2</v>
      </c>
      <c r="C9" s="6">
        <v>5</v>
      </c>
      <c r="D9" s="6">
        <v>5</v>
      </c>
      <c r="E9" s="6">
        <v>6</v>
      </c>
      <c r="F9" s="6">
        <v>76</v>
      </c>
      <c r="G9" s="6">
        <v>17</v>
      </c>
      <c r="H9" s="6">
        <v>2</v>
      </c>
      <c r="I9" s="6">
        <v>0.66</v>
      </c>
      <c r="J9" s="6"/>
      <c r="K9" s="34">
        <f t="shared" ref="K9:K16" si="0">(($G$16-G9)/$G$16)*100</f>
        <v>-54.54545454545454</v>
      </c>
    </row>
    <row r="10" spans="1:11" x14ac:dyDescent="0.3">
      <c r="A10" s="6">
        <v>1</v>
      </c>
      <c r="B10" s="5">
        <v>3</v>
      </c>
      <c r="C10" s="6">
        <v>4</v>
      </c>
      <c r="D10" s="6">
        <v>4.5</v>
      </c>
      <c r="E10" s="6">
        <v>5.5</v>
      </c>
      <c r="F10" s="6">
        <v>74</v>
      </c>
      <c r="G10" s="6">
        <v>22</v>
      </c>
      <c r="H10" s="6">
        <v>2</v>
      </c>
      <c r="I10" s="6">
        <v>0.62</v>
      </c>
      <c r="J10" s="6"/>
      <c r="K10" s="34">
        <f t="shared" si="0"/>
        <v>-100</v>
      </c>
    </row>
    <row r="11" spans="1:11" x14ac:dyDescent="0.3">
      <c r="A11" s="6">
        <v>1</v>
      </c>
      <c r="B11" s="5">
        <v>4</v>
      </c>
      <c r="C11" s="6">
        <v>7</v>
      </c>
      <c r="D11" s="6">
        <v>4</v>
      </c>
      <c r="E11" s="6">
        <v>5.5</v>
      </c>
      <c r="F11" s="6">
        <v>70</v>
      </c>
      <c r="G11" s="6">
        <v>27</v>
      </c>
      <c r="H11" s="6">
        <v>2</v>
      </c>
      <c r="I11" s="6">
        <v>0.57999999999999996</v>
      </c>
      <c r="J11" s="6"/>
      <c r="K11" s="34">
        <f t="shared" si="0"/>
        <v>-145.45454545454547</v>
      </c>
    </row>
    <row r="12" spans="1:11" x14ac:dyDescent="0.3">
      <c r="A12" s="6">
        <v>1</v>
      </c>
      <c r="B12" s="5">
        <v>5</v>
      </c>
      <c r="C12" s="6">
        <v>2</v>
      </c>
      <c r="D12" s="6">
        <v>4.5</v>
      </c>
      <c r="E12" s="6">
        <v>6.5</v>
      </c>
      <c r="F12" s="6">
        <v>82</v>
      </c>
      <c r="G12" s="6">
        <v>13</v>
      </c>
      <c r="H12" s="6">
        <v>2</v>
      </c>
      <c r="I12" s="6">
        <v>0.65</v>
      </c>
      <c r="J12" s="6"/>
      <c r="K12" s="34">
        <f t="shared" si="0"/>
        <v>-18.181818181818183</v>
      </c>
    </row>
    <row r="13" spans="1:11" x14ac:dyDescent="0.3">
      <c r="A13" s="6">
        <v>1</v>
      </c>
      <c r="B13" s="5">
        <v>6</v>
      </c>
      <c r="C13" s="6">
        <v>6</v>
      </c>
      <c r="D13" s="6">
        <v>2</v>
      </c>
      <c r="E13" s="6">
        <v>3.5</v>
      </c>
      <c r="F13" s="6">
        <v>25</v>
      </c>
      <c r="G13" s="6">
        <v>73</v>
      </c>
      <c r="H13" s="6">
        <v>3</v>
      </c>
      <c r="I13" s="6">
        <v>0.55000000000000004</v>
      </c>
      <c r="J13" s="6"/>
      <c r="K13" s="34">
        <f t="shared" si="0"/>
        <v>-563.63636363636363</v>
      </c>
    </row>
    <row r="14" spans="1:11" x14ac:dyDescent="0.3">
      <c r="A14" s="6">
        <v>1</v>
      </c>
      <c r="B14" s="5">
        <v>7</v>
      </c>
      <c r="C14" s="6">
        <v>8</v>
      </c>
      <c r="D14" s="6">
        <v>2</v>
      </c>
      <c r="E14" s="6">
        <v>3</v>
      </c>
      <c r="F14" s="6">
        <v>14</v>
      </c>
      <c r="G14" s="6">
        <v>84</v>
      </c>
      <c r="H14" s="6">
        <v>3</v>
      </c>
      <c r="I14" s="6">
        <v>0.49</v>
      </c>
      <c r="J14" s="6"/>
      <c r="K14" s="34">
        <f t="shared" si="0"/>
        <v>-663.63636363636363</v>
      </c>
    </row>
    <row r="15" spans="1:11" x14ac:dyDescent="0.3">
      <c r="A15" s="6">
        <v>1</v>
      </c>
      <c r="B15" s="5">
        <v>8</v>
      </c>
      <c r="C15" s="6">
        <v>3</v>
      </c>
      <c r="D15" s="6">
        <v>4.5</v>
      </c>
      <c r="E15" s="6">
        <v>5.5</v>
      </c>
      <c r="F15" s="6">
        <v>83</v>
      </c>
      <c r="G15" s="6">
        <v>14</v>
      </c>
      <c r="H15" s="6">
        <v>1</v>
      </c>
      <c r="I15" s="6">
        <v>0.66</v>
      </c>
      <c r="J15" s="6"/>
      <c r="K15" s="34">
        <f t="shared" si="0"/>
        <v>-27.27272727272727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>
        <v>5.5</v>
      </c>
      <c r="E16" s="10">
        <v>6.5</v>
      </c>
      <c r="F16" s="10">
        <v>88</v>
      </c>
      <c r="G16" s="10">
        <v>11</v>
      </c>
      <c r="H16" s="10">
        <v>1</v>
      </c>
      <c r="I16" s="10">
        <v>0.69</v>
      </c>
      <c r="J16" s="10"/>
      <c r="K16" s="38">
        <f t="shared" si="0"/>
        <v>0</v>
      </c>
    </row>
    <row r="17" spans="1:11" x14ac:dyDescent="0.3">
      <c r="A17" s="5">
        <v>2</v>
      </c>
      <c r="B17" s="5">
        <v>10</v>
      </c>
      <c r="C17" s="5">
        <v>2</v>
      </c>
      <c r="D17" s="5">
        <v>5</v>
      </c>
      <c r="E17" s="5">
        <v>6</v>
      </c>
      <c r="F17" s="5">
        <v>87</v>
      </c>
      <c r="G17" s="5">
        <v>9</v>
      </c>
      <c r="H17" s="5">
        <v>2</v>
      </c>
      <c r="I17" s="5">
        <v>0.61</v>
      </c>
      <c r="J17" s="5"/>
      <c r="K17" s="36">
        <f>(($G$21-G17)/$G$21)*100</f>
        <v>76.923076923076934</v>
      </c>
    </row>
    <row r="18" spans="1:11" x14ac:dyDescent="0.3">
      <c r="A18" s="6">
        <v>2</v>
      </c>
      <c r="B18" s="5">
        <v>11</v>
      </c>
      <c r="C18" s="6">
        <v>9</v>
      </c>
      <c r="D18" s="6">
        <v>6</v>
      </c>
      <c r="E18" s="6">
        <v>7</v>
      </c>
      <c r="F18" s="6">
        <v>93</v>
      </c>
      <c r="G18" s="6">
        <v>1</v>
      </c>
      <c r="H18" s="6">
        <v>1</v>
      </c>
      <c r="I18" s="6">
        <v>0.69</v>
      </c>
      <c r="J18" s="6"/>
      <c r="K18" s="34">
        <f t="shared" ref="K18:K25" si="1">(($G$21-G18)/$G$21)*100</f>
        <v>97.435897435897431</v>
      </c>
    </row>
    <row r="19" spans="1:11" x14ac:dyDescent="0.3">
      <c r="A19" s="6">
        <v>2</v>
      </c>
      <c r="B19" s="5">
        <v>12</v>
      </c>
      <c r="C19" s="6">
        <v>8</v>
      </c>
      <c r="D19" s="6">
        <v>5</v>
      </c>
      <c r="E19" s="7">
        <v>6</v>
      </c>
      <c r="F19" s="6">
        <v>86</v>
      </c>
      <c r="G19" s="6">
        <v>10</v>
      </c>
      <c r="H19" s="6">
        <v>1</v>
      </c>
      <c r="I19" s="6">
        <v>0.68</v>
      </c>
      <c r="J19" s="6"/>
      <c r="K19" s="34">
        <f t="shared" si="1"/>
        <v>74.358974358974365</v>
      </c>
    </row>
    <row r="20" spans="1:11" x14ac:dyDescent="0.3">
      <c r="A20" s="6">
        <v>2</v>
      </c>
      <c r="B20" s="5">
        <v>13</v>
      </c>
      <c r="C20" s="6">
        <v>3</v>
      </c>
      <c r="D20" s="6">
        <v>5</v>
      </c>
      <c r="E20" s="6">
        <v>6</v>
      </c>
      <c r="F20" s="6">
        <v>82</v>
      </c>
      <c r="G20" s="6">
        <v>15</v>
      </c>
      <c r="H20" s="6">
        <v>2</v>
      </c>
      <c r="I20" s="6">
        <v>0.65</v>
      </c>
      <c r="J20" s="6"/>
      <c r="K20" s="34">
        <f t="shared" si="1"/>
        <v>61.53846153846154</v>
      </c>
    </row>
    <row r="21" spans="1:11" x14ac:dyDescent="0.3">
      <c r="A21" s="6">
        <v>2</v>
      </c>
      <c r="B21" s="5">
        <v>14</v>
      </c>
      <c r="C21" s="6">
        <v>1</v>
      </c>
      <c r="D21" s="6">
        <v>3.5</v>
      </c>
      <c r="E21" s="6">
        <v>5</v>
      </c>
      <c r="F21" s="6">
        <v>58</v>
      </c>
      <c r="G21" s="6">
        <v>39</v>
      </c>
      <c r="H21" s="6">
        <v>2</v>
      </c>
      <c r="I21" s="6">
        <v>0.64</v>
      </c>
      <c r="J21" s="6"/>
      <c r="K21" s="34">
        <f t="shared" si="1"/>
        <v>0</v>
      </c>
    </row>
    <row r="22" spans="1:11" x14ac:dyDescent="0.3">
      <c r="A22" s="6">
        <v>2</v>
      </c>
      <c r="B22" s="5">
        <v>15</v>
      </c>
      <c r="C22" s="6">
        <v>7</v>
      </c>
      <c r="D22" s="6">
        <v>3</v>
      </c>
      <c r="E22" s="6">
        <v>4.5</v>
      </c>
      <c r="F22" s="6">
        <v>67</v>
      </c>
      <c r="G22" s="6">
        <v>31</v>
      </c>
      <c r="H22" s="6">
        <v>2</v>
      </c>
      <c r="I22" s="6">
        <v>0.59</v>
      </c>
      <c r="J22" s="6"/>
      <c r="K22" s="34">
        <f t="shared" si="1"/>
        <v>20.512820512820511</v>
      </c>
    </row>
    <row r="23" spans="1:11" x14ac:dyDescent="0.3">
      <c r="A23" s="6">
        <v>2</v>
      </c>
      <c r="B23" s="5">
        <v>16</v>
      </c>
      <c r="C23" s="6">
        <v>5</v>
      </c>
      <c r="D23" s="6">
        <v>4</v>
      </c>
      <c r="E23" s="6">
        <v>6</v>
      </c>
      <c r="F23" s="6">
        <v>77</v>
      </c>
      <c r="G23" s="6">
        <v>21</v>
      </c>
      <c r="H23" s="6">
        <v>2</v>
      </c>
      <c r="I23" s="6">
        <v>0.63</v>
      </c>
      <c r="J23" s="6"/>
      <c r="K23" s="34">
        <f t="shared" si="1"/>
        <v>46.153846153846153</v>
      </c>
    </row>
    <row r="24" spans="1:11" x14ac:dyDescent="0.3">
      <c r="A24" s="6">
        <v>2</v>
      </c>
      <c r="B24" s="5">
        <v>17</v>
      </c>
      <c r="C24" s="6">
        <v>4</v>
      </c>
      <c r="D24" s="6">
        <v>5.5</v>
      </c>
      <c r="E24" s="6">
        <v>6.5</v>
      </c>
      <c r="F24" s="6">
        <v>83</v>
      </c>
      <c r="G24" s="6">
        <v>9</v>
      </c>
      <c r="H24" s="6">
        <v>2</v>
      </c>
      <c r="I24" s="6">
        <v>0.68</v>
      </c>
      <c r="J24" s="6"/>
      <c r="K24" s="34">
        <f t="shared" si="1"/>
        <v>76.923076923076934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>
        <v>5</v>
      </c>
      <c r="E25" s="10">
        <v>6</v>
      </c>
      <c r="F25" s="10">
        <v>88</v>
      </c>
      <c r="G25" s="10">
        <v>10</v>
      </c>
      <c r="H25" s="10">
        <v>1</v>
      </c>
      <c r="I25" s="10">
        <v>0.64</v>
      </c>
      <c r="J25" s="10"/>
      <c r="K25" s="38">
        <f t="shared" si="1"/>
        <v>74.358974358974365</v>
      </c>
    </row>
    <row r="26" spans="1:11" x14ac:dyDescent="0.3">
      <c r="A26" s="5">
        <v>3</v>
      </c>
      <c r="B26" s="5">
        <v>19</v>
      </c>
      <c r="C26" s="5">
        <v>7</v>
      </c>
      <c r="D26" s="5">
        <v>5.5</v>
      </c>
      <c r="E26" s="5">
        <v>6</v>
      </c>
      <c r="F26" s="5">
        <v>88</v>
      </c>
      <c r="G26" s="5">
        <v>8</v>
      </c>
      <c r="H26" s="5">
        <v>1</v>
      </c>
      <c r="I26" s="5">
        <v>0.66</v>
      </c>
      <c r="J26" s="5"/>
      <c r="K26" s="36">
        <f>(($G$31-G26)/$G$31)*100</f>
        <v>60</v>
      </c>
    </row>
    <row r="27" spans="1:11" x14ac:dyDescent="0.3">
      <c r="A27" s="6">
        <v>3</v>
      </c>
      <c r="B27" s="5">
        <v>20</v>
      </c>
      <c r="C27" s="6">
        <v>3</v>
      </c>
      <c r="D27" s="6">
        <v>5</v>
      </c>
      <c r="E27" s="6">
        <v>6</v>
      </c>
      <c r="F27" s="6">
        <v>89</v>
      </c>
      <c r="G27" s="6">
        <v>5</v>
      </c>
      <c r="H27" s="6">
        <v>1</v>
      </c>
      <c r="I27" s="6">
        <v>0.67</v>
      </c>
      <c r="J27" s="6"/>
      <c r="K27" s="34">
        <f t="shared" ref="K27:K34" si="2">(($G$31-G27)/$G$31)*100</f>
        <v>75</v>
      </c>
    </row>
    <row r="28" spans="1:11" x14ac:dyDescent="0.3">
      <c r="A28" s="6">
        <v>3</v>
      </c>
      <c r="B28" s="5">
        <v>21</v>
      </c>
      <c r="C28" s="6">
        <v>9</v>
      </c>
      <c r="D28" s="6">
        <v>5.5</v>
      </c>
      <c r="E28" s="6">
        <v>6</v>
      </c>
      <c r="F28" s="6">
        <v>86</v>
      </c>
      <c r="G28" s="6">
        <v>11</v>
      </c>
      <c r="H28" s="6">
        <v>2</v>
      </c>
      <c r="I28" s="6">
        <v>0.73</v>
      </c>
      <c r="J28" s="6"/>
      <c r="K28" s="34">
        <f t="shared" si="2"/>
        <v>45</v>
      </c>
    </row>
    <row r="29" spans="1:11" x14ac:dyDescent="0.3">
      <c r="A29" s="6">
        <v>3</v>
      </c>
      <c r="B29" s="5">
        <v>22</v>
      </c>
      <c r="C29" s="6">
        <v>4</v>
      </c>
      <c r="D29" s="6">
        <v>4.5</v>
      </c>
      <c r="E29" s="6">
        <v>6</v>
      </c>
      <c r="F29" s="6">
        <v>77</v>
      </c>
      <c r="G29" s="6">
        <v>22</v>
      </c>
      <c r="H29" s="6">
        <v>2</v>
      </c>
      <c r="I29" s="6">
        <v>0.65</v>
      </c>
      <c r="J29" s="6"/>
      <c r="K29" s="34">
        <f t="shared" si="2"/>
        <v>-10</v>
      </c>
    </row>
    <row r="30" spans="1:11" x14ac:dyDescent="0.3">
      <c r="A30" s="6">
        <v>3</v>
      </c>
      <c r="B30" s="5">
        <v>23</v>
      </c>
      <c r="C30" s="6">
        <v>8</v>
      </c>
      <c r="D30" s="6">
        <v>3</v>
      </c>
      <c r="E30" s="6">
        <v>4.5</v>
      </c>
      <c r="F30" s="6">
        <v>20</v>
      </c>
      <c r="G30" s="6">
        <v>78</v>
      </c>
      <c r="H30" s="6">
        <v>3</v>
      </c>
      <c r="I30" s="6">
        <v>0.56999999999999995</v>
      </c>
      <c r="J30" s="6"/>
      <c r="K30" s="34">
        <f t="shared" si="2"/>
        <v>-290</v>
      </c>
    </row>
    <row r="31" spans="1:11" x14ac:dyDescent="0.3">
      <c r="A31" s="6">
        <v>3</v>
      </c>
      <c r="B31" s="5">
        <v>24</v>
      </c>
      <c r="C31" s="6">
        <v>1</v>
      </c>
      <c r="D31" s="6">
        <v>4</v>
      </c>
      <c r="E31" s="6">
        <v>5.5</v>
      </c>
      <c r="F31" s="6">
        <v>76</v>
      </c>
      <c r="G31" s="6">
        <v>20</v>
      </c>
      <c r="H31" s="6">
        <v>2</v>
      </c>
      <c r="I31" s="6">
        <v>0.63</v>
      </c>
      <c r="J31" s="6"/>
      <c r="K31" s="34">
        <f t="shared" si="2"/>
        <v>0</v>
      </c>
    </row>
    <row r="32" spans="1:11" x14ac:dyDescent="0.3">
      <c r="A32" s="6">
        <v>3</v>
      </c>
      <c r="B32" s="5">
        <v>25</v>
      </c>
      <c r="C32" s="6">
        <v>6</v>
      </c>
      <c r="D32" s="6">
        <v>4</v>
      </c>
      <c r="E32" s="6">
        <v>5.5</v>
      </c>
      <c r="F32" s="6">
        <v>55</v>
      </c>
      <c r="G32" s="6">
        <v>43</v>
      </c>
      <c r="H32" s="6">
        <v>2</v>
      </c>
      <c r="I32" s="6">
        <v>0.52</v>
      </c>
      <c r="J32" s="6"/>
      <c r="K32" s="34">
        <f t="shared" si="2"/>
        <v>-114.99999999999999</v>
      </c>
    </row>
    <row r="33" spans="1:11" x14ac:dyDescent="0.3">
      <c r="A33" s="6">
        <v>3</v>
      </c>
      <c r="B33" s="5">
        <v>26</v>
      </c>
      <c r="C33" s="6">
        <v>2</v>
      </c>
      <c r="D33" s="6">
        <v>5.5</v>
      </c>
      <c r="E33" s="6">
        <v>6.5</v>
      </c>
      <c r="F33" s="6">
        <v>85</v>
      </c>
      <c r="G33" s="6">
        <v>9</v>
      </c>
      <c r="H33" s="6">
        <v>2</v>
      </c>
      <c r="I33" s="6">
        <v>0.65</v>
      </c>
      <c r="J33" s="6"/>
      <c r="K33" s="34">
        <f t="shared" si="2"/>
        <v>55.000000000000007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>
        <v>4.5</v>
      </c>
      <c r="E34" s="10">
        <v>6</v>
      </c>
      <c r="F34" s="10">
        <v>80</v>
      </c>
      <c r="G34" s="10">
        <v>12</v>
      </c>
      <c r="H34" s="10">
        <v>2</v>
      </c>
      <c r="I34" s="10">
        <v>0.64</v>
      </c>
      <c r="J34" s="10"/>
      <c r="K34" s="38">
        <f t="shared" si="2"/>
        <v>40</v>
      </c>
    </row>
    <row r="35" spans="1:11" x14ac:dyDescent="0.3">
      <c r="A35" s="5">
        <v>4</v>
      </c>
      <c r="B35" s="5">
        <v>28</v>
      </c>
      <c r="C35" s="9">
        <v>7</v>
      </c>
      <c r="D35" s="5">
        <v>4.5</v>
      </c>
      <c r="E35" s="5">
        <v>6</v>
      </c>
      <c r="F35" s="5">
        <v>85</v>
      </c>
      <c r="G35" s="5">
        <v>14</v>
      </c>
      <c r="H35" s="5">
        <v>2</v>
      </c>
      <c r="I35" s="5">
        <v>0.65</v>
      </c>
      <c r="J35" s="5"/>
      <c r="K35" s="36">
        <f>(($G$42-G35)/$G$42)*100</f>
        <v>30</v>
      </c>
    </row>
    <row r="36" spans="1:11" x14ac:dyDescent="0.3">
      <c r="A36" s="6">
        <v>4</v>
      </c>
      <c r="B36" s="5">
        <v>29</v>
      </c>
      <c r="C36" s="6">
        <v>3</v>
      </c>
      <c r="D36" s="6">
        <v>6</v>
      </c>
      <c r="E36" s="6">
        <v>6.5</v>
      </c>
      <c r="F36" s="6">
        <v>90</v>
      </c>
      <c r="G36" s="6">
        <v>5</v>
      </c>
      <c r="H36" s="6">
        <v>1</v>
      </c>
      <c r="I36" s="6">
        <v>0.72</v>
      </c>
      <c r="J36" s="6"/>
      <c r="K36" s="34">
        <f t="shared" ref="K36:K43" si="3">(($G$42-G36)/$G$42)*100</f>
        <v>75</v>
      </c>
    </row>
    <row r="37" spans="1:11" x14ac:dyDescent="0.3">
      <c r="A37" s="6">
        <v>4</v>
      </c>
      <c r="B37" s="5">
        <v>30</v>
      </c>
      <c r="C37" s="6">
        <v>4</v>
      </c>
      <c r="D37" s="6">
        <v>5.5</v>
      </c>
      <c r="E37" s="6">
        <v>6.5</v>
      </c>
      <c r="F37" s="6">
        <v>86</v>
      </c>
      <c r="G37" s="6">
        <v>11</v>
      </c>
      <c r="H37" s="6">
        <v>1</v>
      </c>
      <c r="I37" s="6">
        <v>0.74</v>
      </c>
      <c r="J37" s="6"/>
      <c r="K37" s="34">
        <f t="shared" si="3"/>
        <v>45</v>
      </c>
    </row>
    <row r="38" spans="1:11" x14ac:dyDescent="0.3">
      <c r="A38" s="6">
        <v>4</v>
      </c>
      <c r="B38" s="5">
        <v>31</v>
      </c>
      <c r="C38" s="6">
        <v>6</v>
      </c>
      <c r="D38" s="6">
        <v>4</v>
      </c>
      <c r="E38" s="6">
        <v>5.5</v>
      </c>
      <c r="F38" s="6">
        <v>77</v>
      </c>
      <c r="G38" s="6">
        <v>22</v>
      </c>
      <c r="H38" s="6">
        <v>2</v>
      </c>
      <c r="I38" s="6">
        <v>0.68</v>
      </c>
      <c r="J38" s="6"/>
      <c r="K38" s="34">
        <f t="shared" si="3"/>
        <v>-10</v>
      </c>
    </row>
    <row r="39" spans="1:11" x14ac:dyDescent="0.3">
      <c r="A39" s="6">
        <v>4</v>
      </c>
      <c r="B39" s="5">
        <v>32</v>
      </c>
      <c r="C39" s="6">
        <v>5</v>
      </c>
      <c r="D39" s="6">
        <v>4</v>
      </c>
      <c r="E39" s="6">
        <v>5</v>
      </c>
      <c r="F39" s="6">
        <v>80</v>
      </c>
      <c r="G39" s="6">
        <v>26</v>
      </c>
      <c r="H39" s="6">
        <v>2</v>
      </c>
      <c r="I39" s="6">
        <v>0.65</v>
      </c>
      <c r="J39" s="6"/>
      <c r="K39" s="34">
        <f t="shared" si="3"/>
        <v>-30</v>
      </c>
    </row>
    <row r="40" spans="1:11" x14ac:dyDescent="0.3">
      <c r="A40" s="6">
        <v>4</v>
      </c>
      <c r="B40" s="5">
        <v>33</v>
      </c>
      <c r="C40" s="6">
        <v>9</v>
      </c>
      <c r="D40" s="6">
        <v>5.5</v>
      </c>
      <c r="E40" s="6">
        <v>6</v>
      </c>
      <c r="F40" s="6">
        <v>88</v>
      </c>
      <c r="G40" s="6">
        <v>10</v>
      </c>
      <c r="H40" s="6">
        <v>1</v>
      </c>
      <c r="I40" s="6">
        <v>0.68</v>
      </c>
      <c r="J40" s="6"/>
      <c r="K40" s="34">
        <f t="shared" si="3"/>
        <v>50</v>
      </c>
    </row>
    <row r="41" spans="1:11" x14ac:dyDescent="0.3">
      <c r="A41" s="6">
        <v>4</v>
      </c>
      <c r="B41" s="5">
        <v>34</v>
      </c>
      <c r="C41" s="6">
        <v>2</v>
      </c>
      <c r="D41" s="6">
        <v>4</v>
      </c>
      <c r="E41" s="6">
        <v>5.5</v>
      </c>
      <c r="F41" s="6">
        <v>72</v>
      </c>
      <c r="G41" s="6">
        <v>25</v>
      </c>
      <c r="H41" s="6">
        <v>2</v>
      </c>
      <c r="I41" s="6">
        <v>0.59</v>
      </c>
      <c r="J41" s="6"/>
      <c r="K41" s="34">
        <f t="shared" si="3"/>
        <v>-25</v>
      </c>
    </row>
    <row r="42" spans="1:11" x14ac:dyDescent="0.3">
      <c r="A42" s="6">
        <v>4</v>
      </c>
      <c r="B42" s="5">
        <v>35</v>
      </c>
      <c r="C42" s="6">
        <v>1</v>
      </c>
      <c r="D42" s="6">
        <v>4</v>
      </c>
      <c r="E42" s="6">
        <v>5</v>
      </c>
      <c r="F42" s="6">
        <v>74</v>
      </c>
      <c r="G42" s="6">
        <v>20</v>
      </c>
      <c r="H42" s="6">
        <v>2</v>
      </c>
      <c r="I42" s="6">
        <v>0.57999999999999996</v>
      </c>
      <c r="J42" s="6"/>
      <c r="K42" s="34">
        <f t="shared" si="3"/>
        <v>0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>
        <v>5</v>
      </c>
      <c r="E43" s="11">
        <v>6</v>
      </c>
      <c r="F43" s="11">
        <v>83</v>
      </c>
      <c r="G43" s="11">
        <v>11</v>
      </c>
      <c r="H43" s="11">
        <v>2</v>
      </c>
      <c r="I43" s="11">
        <v>0.65</v>
      </c>
      <c r="J43" s="39"/>
      <c r="K43" s="38">
        <f t="shared" si="3"/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topLeftCell="A4" workbookViewId="0">
      <selection activeCell="K7" sqref="K7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26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  <c r="B5" t="s">
        <v>17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/>
      <c r="E8" s="6"/>
      <c r="F8" s="6"/>
      <c r="G8" s="6">
        <v>2</v>
      </c>
      <c r="H8" s="6"/>
      <c r="I8" s="6"/>
      <c r="J8" s="6"/>
      <c r="K8" s="36">
        <f>(($G$16-G8)/$G$16)*100</f>
        <v>84.615384615384613</v>
      </c>
    </row>
    <row r="9" spans="1:11" x14ac:dyDescent="0.3">
      <c r="A9" s="6">
        <v>1</v>
      </c>
      <c r="B9" s="5">
        <v>2</v>
      </c>
      <c r="C9" s="6">
        <v>5</v>
      </c>
      <c r="D9" s="6"/>
      <c r="E9" s="6"/>
      <c r="F9" s="6"/>
      <c r="G9" s="6">
        <v>19</v>
      </c>
      <c r="H9" s="6"/>
      <c r="I9" s="6"/>
      <c r="J9" s="6"/>
      <c r="K9" s="34">
        <f t="shared" ref="K9:K16" si="0">(($G$16-G9)/$G$16)*100</f>
        <v>-46.153846153846153</v>
      </c>
    </row>
    <row r="10" spans="1:11" x14ac:dyDescent="0.3">
      <c r="A10" s="6">
        <v>1</v>
      </c>
      <c r="B10" s="5">
        <v>3</v>
      </c>
      <c r="C10" s="6">
        <v>4</v>
      </c>
      <c r="D10" s="6"/>
      <c r="E10" s="6"/>
      <c r="F10" s="6"/>
      <c r="G10" s="6">
        <v>25</v>
      </c>
      <c r="H10" s="6"/>
      <c r="I10" s="6"/>
      <c r="J10" s="6"/>
      <c r="K10" s="34">
        <f t="shared" si="0"/>
        <v>-92.307692307692307</v>
      </c>
    </row>
    <row r="11" spans="1:11" x14ac:dyDescent="0.3">
      <c r="A11" s="6">
        <v>1</v>
      </c>
      <c r="B11" s="5">
        <v>4</v>
      </c>
      <c r="C11" s="6">
        <v>7</v>
      </c>
      <c r="D11" s="6"/>
      <c r="E11" s="6"/>
      <c r="F11" s="6"/>
      <c r="G11" s="6">
        <v>29</v>
      </c>
      <c r="H11" s="6"/>
      <c r="I11" s="6"/>
      <c r="J11" s="6"/>
      <c r="K11" s="34">
        <f t="shared" si="0"/>
        <v>-123.07692307692308</v>
      </c>
    </row>
    <row r="12" spans="1:11" x14ac:dyDescent="0.3">
      <c r="A12" s="6">
        <v>1</v>
      </c>
      <c r="B12" s="5">
        <v>5</v>
      </c>
      <c r="C12" s="6">
        <v>2</v>
      </c>
      <c r="D12" s="6"/>
      <c r="E12" s="6"/>
      <c r="F12" s="6"/>
      <c r="G12" s="6">
        <v>15</v>
      </c>
      <c r="H12" s="6"/>
      <c r="I12" s="6"/>
      <c r="J12" s="6"/>
      <c r="K12" s="34">
        <f t="shared" si="0"/>
        <v>-15.384615384615385</v>
      </c>
    </row>
    <row r="13" spans="1:11" x14ac:dyDescent="0.3">
      <c r="A13" s="6">
        <v>1</v>
      </c>
      <c r="B13" s="5">
        <v>6</v>
      </c>
      <c r="C13" s="6">
        <v>6</v>
      </c>
      <c r="D13" s="6"/>
      <c r="E13" s="6"/>
      <c r="F13" s="6"/>
      <c r="G13" s="6">
        <v>76</v>
      </c>
      <c r="H13" s="6"/>
      <c r="I13" s="6"/>
      <c r="J13" s="6"/>
      <c r="K13" s="34">
        <f t="shared" si="0"/>
        <v>-484.61538461538458</v>
      </c>
    </row>
    <row r="14" spans="1:11" x14ac:dyDescent="0.3">
      <c r="A14" s="6">
        <v>1</v>
      </c>
      <c r="B14" s="5">
        <v>7</v>
      </c>
      <c r="C14" s="6">
        <v>8</v>
      </c>
      <c r="D14" s="6"/>
      <c r="E14" s="6"/>
      <c r="F14" s="6"/>
      <c r="G14" s="6">
        <v>87</v>
      </c>
      <c r="H14" s="6"/>
      <c r="I14" s="6"/>
      <c r="J14" s="6"/>
      <c r="K14" s="34">
        <f t="shared" si="0"/>
        <v>-569.23076923076928</v>
      </c>
    </row>
    <row r="15" spans="1:11" x14ac:dyDescent="0.3">
      <c r="A15" s="6">
        <v>1</v>
      </c>
      <c r="B15" s="5">
        <v>8</v>
      </c>
      <c r="C15" s="6">
        <v>3</v>
      </c>
      <c r="D15" s="6"/>
      <c r="E15" s="6"/>
      <c r="F15" s="6"/>
      <c r="G15" s="6">
        <v>15</v>
      </c>
      <c r="H15" s="6"/>
      <c r="I15" s="6"/>
      <c r="J15" s="6"/>
      <c r="K15" s="34">
        <f t="shared" si="0"/>
        <v>-15.384615384615385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/>
      <c r="E16" s="10"/>
      <c r="F16" s="10"/>
      <c r="G16" s="10">
        <v>13</v>
      </c>
      <c r="H16" s="10"/>
      <c r="I16" s="10"/>
      <c r="J16" s="10"/>
      <c r="K16" s="38">
        <f t="shared" si="0"/>
        <v>0</v>
      </c>
    </row>
    <row r="17" spans="1:11" x14ac:dyDescent="0.3">
      <c r="A17" s="5">
        <v>2</v>
      </c>
      <c r="B17" s="5">
        <v>10</v>
      </c>
      <c r="C17" s="5">
        <v>2</v>
      </c>
      <c r="D17" s="5"/>
      <c r="E17" s="5"/>
      <c r="F17" s="5"/>
      <c r="G17" s="5">
        <v>11</v>
      </c>
      <c r="H17" s="5"/>
      <c r="I17" s="5"/>
      <c r="J17" s="5"/>
      <c r="K17" s="36">
        <f>(($G$21-G17)/$G$21)*100</f>
        <v>75</v>
      </c>
    </row>
    <row r="18" spans="1:11" x14ac:dyDescent="0.3">
      <c r="A18" s="6">
        <v>2</v>
      </c>
      <c r="B18" s="5">
        <v>11</v>
      </c>
      <c r="C18" s="6">
        <v>9</v>
      </c>
      <c r="D18" s="6"/>
      <c r="E18" s="6"/>
      <c r="F18" s="6"/>
      <c r="G18" s="6">
        <v>3</v>
      </c>
      <c r="H18" s="6"/>
      <c r="I18" s="6"/>
      <c r="J18" s="6"/>
      <c r="K18" s="34">
        <f t="shared" ref="K18:K25" si="1">(($G$21-G18)/$G$21)*100</f>
        <v>93.181818181818173</v>
      </c>
    </row>
    <row r="19" spans="1:11" x14ac:dyDescent="0.3">
      <c r="A19" s="6">
        <v>2</v>
      </c>
      <c r="B19" s="5">
        <v>12</v>
      </c>
      <c r="C19" s="6">
        <v>8</v>
      </c>
      <c r="D19" s="6"/>
      <c r="E19" s="7"/>
      <c r="F19" s="6"/>
      <c r="G19" s="6">
        <v>11</v>
      </c>
      <c r="H19" s="6"/>
      <c r="I19" s="6"/>
      <c r="J19" s="6"/>
      <c r="K19" s="34">
        <f t="shared" si="1"/>
        <v>75</v>
      </c>
    </row>
    <row r="20" spans="1:11" x14ac:dyDescent="0.3">
      <c r="A20" s="6">
        <v>2</v>
      </c>
      <c r="B20" s="5">
        <v>13</v>
      </c>
      <c r="C20" s="6">
        <v>3</v>
      </c>
      <c r="D20" s="6"/>
      <c r="E20" s="6"/>
      <c r="F20" s="6"/>
      <c r="G20" s="6">
        <v>15</v>
      </c>
      <c r="H20" s="6"/>
      <c r="I20" s="6"/>
      <c r="J20" s="6"/>
      <c r="K20" s="34">
        <f t="shared" si="1"/>
        <v>65.909090909090907</v>
      </c>
    </row>
    <row r="21" spans="1:11" x14ac:dyDescent="0.3">
      <c r="A21" s="6">
        <v>2</v>
      </c>
      <c r="B21" s="5">
        <v>14</v>
      </c>
      <c r="C21" s="6">
        <v>1</v>
      </c>
      <c r="D21" s="6"/>
      <c r="E21" s="6"/>
      <c r="F21" s="6"/>
      <c r="G21" s="6">
        <v>44</v>
      </c>
      <c r="H21" s="6"/>
      <c r="I21" s="6"/>
      <c r="J21" s="6"/>
      <c r="K21" s="34">
        <f t="shared" si="1"/>
        <v>0</v>
      </c>
    </row>
    <row r="22" spans="1:11" x14ac:dyDescent="0.3">
      <c r="A22" s="6">
        <v>2</v>
      </c>
      <c r="B22" s="5">
        <v>15</v>
      </c>
      <c r="C22" s="6">
        <v>7</v>
      </c>
      <c r="D22" s="6"/>
      <c r="E22" s="6"/>
      <c r="F22" s="6"/>
      <c r="G22" s="6">
        <v>38</v>
      </c>
      <c r="H22" s="6"/>
      <c r="I22" s="6"/>
      <c r="J22" s="6"/>
      <c r="K22" s="34">
        <f t="shared" si="1"/>
        <v>13.636363636363635</v>
      </c>
    </row>
    <row r="23" spans="1:11" x14ac:dyDescent="0.3">
      <c r="A23" s="6">
        <v>2</v>
      </c>
      <c r="B23" s="5">
        <v>16</v>
      </c>
      <c r="C23" s="6">
        <v>5</v>
      </c>
      <c r="D23" s="6"/>
      <c r="E23" s="6"/>
      <c r="F23" s="6"/>
      <c r="G23" s="6">
        <v>25</v>
      </c>
      <c r="H23" s="6"/>
      <c r="I23" s="6"/>
      <c r="J23" s="6"/>
      <c r="K23" s="34">
        <f t="shared" si="1"/>
        <v>43.18181818181818</v>
      </c>
    </row>
    <row r="24" spans="1:11" x14ac:dyDescent="0.3">
      <c r="A24" s="6">
        <v>2</v>
      </c>
      <c r="B24" s="5">
        <v>17</v>
      </c>
      <c r="C24" s="6">
        <v>4</v>
      </c>
      <c r="D24" s="6"/>
      <c r="E24" s="6"/>
      <c r="F24" s="6"/>
      <c r="G24" s="6">
        <v>12</v>
      </c>
      <c r="H24" s="6"/>
      <c r="I24" s="6"/>
      <c r="J24" s="6"/>
      <c r="K24" s="34">
        <f t="shared" si="1"/>
        <v>72.727272727272734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/>
      <c r="E25" s="10"/>
      <c r="F25" s="10"/>
      <c r="G25" s="10">
        <v>13</v>
      </c>
      <c r="H25" s="10"/>
      <c r="I25" s="10"/>
      <c r="J25" s="10"/>
      <c r="K25" s="38">
        <f t="shared" si="1"/>
        <v>70.454545454545453</v>
      </c>
    </row>
    <row r="26" spans="1:11" x14ac:dyDescent="0.3">
      <c r="A26" s="5">
        <v>3</v>
      </c>
      <c r="B26" s="5">
        <v>19</v>
      </c>
      <c r="C26" s="5">
        <v>7</v>
      </c>
      <c r="D26" s="5"/>
      <c r="E26" s="5"/>
      <c r="F26" s="5"/>
      <c r="G26" s="5">
        <v>9</v>
      </c>
      <c r="H26" s="5"/>
      <c r="I26" s="5"/>
      <c r="J26" s="5"/>
      <c r="K26" s="36">
        <f>(($G$31-G26)/$G$31)*100</f>
        <v>62.5</v>
      </c>
    </row>
    <row r="27" spans="1:11" x14ac:dyDescent="0.3">
      <c r="A27" s="6">
        <v>3</v>
      </c>
      <c r="B27" s="5">
        <v>20</v>
      </c>
      <c r="C27" s="6">
        <v>3</v>
      </c>
      <c r="D27" s="6"/>
      <c r="E27" s="6"/>
      <c r="F27" s="6"/>
      <c r="G27" s="6">
        <v>6</v>
      </c>
      <c r="H27" s="6"/>
      <c r="I27" s="6"/>
      <c r="J27" s="6"/>
      <c r="K27" s="34">
        <f t="shared" ref="K27:K34" si="2">(($G$31-G27)/$G$31)*100</f>
        <v>75</v>
      </c>
    </row>
    <row r="28" spans="1:11" x14ac:dyDescent="0.3">
      <c r="A28" s="6">
        <v>3</v>
      </c>
      <c r="B28" s="5">
        <v>21</v>
      </c>
      <c r="C28" s="6">
        <v>9</v>
      </c>
      <c r="D28" s="6"/>
      <c r="E28" s="6"/>
      <c r="F28" s="6"/>
      <c r="G28" s="6">
        <v>14</v>
      </c>
      <c r="H28" s="6"/>
      <c r="I28" s="6"/>
      <c r="J28" s="6"/>
      <c r="K28" s="34">
        <f t="shared" si="2"/>
        <v>41.666666666666671</v>
      </c>
    </row>
    <row r="29" spans="1:11" x14ac:dyDescent="0.3">
      <c r="A29" s="6">
        <v>3</v>
      </c>
      <c r="B29" s="5">
        <v>22</v>
      </c>
      <c r="C29" s="6">
        <v>4</v>
      </c>
      <c r="D29" s="6"/>
      <c r="E29" s="6"/>
      <c r="F29" s="6"/>
      <c r="G29" s="6">
        <v>27</v>
      </c>
      <c r="H29" s="6"/>
      <c r="I29" s="6"/>
      <c r="J29" s="6"/>
      <c r="K29" s="34">
        <f t="shared" si="2"/>
        <v>-12.5</v>
      </c>
    </row>
    <row r="30" spans="1:11" x14ac:dyDescent="0.3">
      <c r="A30" s="6">
        <v>3</v>
      </c>
      <c r="B30" s="5">
        <v>23</v>
      </c>
      <c r="C30" s="6">
        <v>8</v>
      </c>
      <c r="D30" s="6"/>
      <c r="E30" s="6"/>
      <c r="F30" s="6"/>
      <c r="G30" s="6">
        <v>84</v>
      </c>
      <c r="H30" s="6"/>
      <c r="I30" s="6"/>
      <c r="J30" s="6"/>
      <c r="K30" s="34">
        <f t="shared" si="2"/>
        <v>-250</v>
      </c>
    </row>
    <row r="31" spans="1:11" x14ac:dyDescent="0.3">
      <c r="A31" s="6">
        <v>3</v>
      </c>
      <c r="B31" s="5">
        <v>24</v>
      </c>
      <c r="C31" s="6">
        <v>1</v>
      </c>
      <c r="D31" s="6"/>
      <c r="E31" s="6"/>
      <c r="F31" s="6"/>
      <c r="G31" s="6">
        <v>24</v>
      </c>
      <c r="H31" s="6"/>
      <c r="I31" s="6"/>
      <c r="J31" s="6"/>
      <c r="K31" s="34">
        <f t="shared" si="2"/>
        <v>0</v>
      </c>
    </row>
    <row r="32" spans="1:11" x14ac:dyDescent="0.3">
      <c r="A32" s="6">
        <v>3</v>
      </c>
      <c r="B32" s="5">
        <v>25</v>
      </c>
      <c r="C32" s="6">
        <v>6</v>
      </c>
      <c r="D32" s="6"/>
      <c r="E32" s="6"/>
      <c r="F32" s="6"/>
      <c r="G32" s="6">
        <v>50</v>
      </c>
      <c r="H32" s="6"/>
      <c r="I32" s="6"/>
      <c r="J32" s="6"/>
      <c r="K32" s="34">
        <f t="shared" si="2"/>
        <v>-108.33333333333333</v>
      </c>
    </row>
    <row r="33" spans="1:11" x14ac:dyDescent="0.3">
      <c r="A33" s="6">
        <v>3</v>
      </c>
      <c r="B33" s="5">
        <v>26</v>
      </c>
      <c r="C33" s="6">
        <v>2</v>
      </c>
      <c r="D33" s="6"/>
      <c r="E33" s="6"/>
      <c r="F33" s="6"/>
      <c r="G33" s="6">
        <v>14</v>
      </c>
      <c r="H33" s="6"/>
      <c r="I33" s="6"/>
      <c r="J33" s="6"/>
      <c r="K33" s="34">
        <f t="shared" si="2"/>
        <v>41.666666666666671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/>
      <c r="E34" s="10"/>
      <c r="F34" s="10"/>
      <c r="G34" s="10">
        <v>16</v>
      </c>
      <c r="H34" s="10"/>
      <c r="I34" s="10"/>
      <c r="J34" s="10"/>
      <c r="K34" s="38">
        <f t="shared" si="2"/>
        <v>33.333333333333329</v>
      </c>
    </row>
    <row r="35" spans="1:11" x14ac:dyDescent="0.3">
      <c r="A35" s="5">
        <v>4</v>
      </c>
      <c r="B35" s="5">
        <v>28</v>
      </c>
      <c r="C35" s="9">
        <v>7</v>
      </c>
      <c r="D35" s="5"/>
      <c r="E35" s="5"/>
      <c r="F35" s="5"/>
      <c r="G35" s="5">
        <v>15</v>
      </c>
      <c r="H35" s="5"/>
      <c r="I35" s="5"/>
      <c r="J35" s="5"/>
      <c r="K35" s="36">
        <f>(($G$42-G35)/$G$42)*100</f>
        <v>37.5</v>
      </c>
    </row>
    <row r="36" spans="1:11" x14ac:dyDescent="0.3">
      <c r="A36" s="6">
        <v>4</v>
      </c>
      <c r="B36" s="5">
        <v>29</v>
      </c>
      <c r="C36" s="6">
        <v>3</v>
      </c>
      <c r="D36" s="6"/>
      <c r="E36" s="6"/>
      <c r="F36" s="6"/>
      <c r="G36" s="6">
        <v>8</v>
      </c>
      <c r="H36" s="6"/>
      <c r="I36" s="6"/>
      <c r="J36" s="6"/>
      <c r="K36" s="34">
        <f t="shared" ref="K36:K43" si="3">(($G$42-G36)/$G$42)*100</f>
        <v>66.666666666666657</v>
      </c>
    </row>
    <row r="37" spans="1:11" x14ac:dyDescent="0.3">
      <c r="A37" s="6">
        <v>4</v>
      </c>
      <c r="B37" s="5">
        <v>30</v>
      </c>
      <c r="C37" s="6">
        <v>4</v>
      </c>
      <c r="D37" s="6"/>
      <c r="E37" s="6"/>
      <c r="F37" s="6"/>
      <c r="G37" s="6">
        <v>15</v>
      </c>
      <c r="H37" s="6"/>
      <c r="I37" s="6"/>
      <c r="J37" s="6"/>
      <c r="K37" s="34">
        <f t="shared" si="3"/>
        <v>37.5</v>
      </c>
    </row>
    <row r="38" spans="1:11" x14ac:dyDescent="0.3">
      <c r="A38" s="6">
        <v>4</v>
      </c>
      <c r="B38" s="5">
        <v>31</v>
      </c>
      <c r="C38" s="6">
        <v>6</v>
      </c>
      <c r="D38" s="6"/>
      <c r="E38" s="6"/>
      <c r="F38" s="6"/>
      <c r="G38" s="6">
        <v>27</v>
      </c>
      <c r="H38" s="6"/>
      <c r="I38" s="6"/>
      <c r="J38" s="6"/>
      <c r="K38" s="34">
        <f t="shared" si="3"/>
        <v>-12.5</v>
      </c>
    </row>
    <row r="39" spans="1:11" x14ac:dyDescent="0.3">
      <c r="A39" s="6">
        <v>4</v>
      </c>
      <c r="B39" s="5">
        <v>32</v>
      </c>
      <c r="C39" s="6">
        <v>5</v>
      </c>
      <c r="D39" s="6"/>
      <c r="E39" s="6"/>
      <c r="F39" s="6"/>
      <c r="G39" s="6">
        <v>30</v>
      </c>
      <c r="H39" s="6"/>
      <c r="I39" s="6"/>
      <c r="J39" s="6"/>
      <c r="K39" s="34">
        <f t="shared" si="3"/>
        <v>-25</v>
      </c>
    </row>
    <row r="40" spans="1:11" x14ac:dyDescent="0.3">
      <c r="A40" s="6">
        <v>4</v>
      </c>
      <c r="B40" s="5">
        <v>33</v>
      </c>
      <c r="C40" s="6">
        <v>9</v>
      </c>
      <c r="D40" s="6"/>
      <c r="E40" s="6"/>
      <c r="F40" s="6"/>
      <c r="G40" s="6">
        <v>16</v>
      </c>
      <c r="H40" s="6"/>
      <c r="I40" s="6"/>
      <c r="J40" s="6"/>
      <c r="K40" s="34">
        <f t="shared" si="3"/>
        <v>33.333333333333329</v>
      </c>
    </row>
    <row r="41" spans="1:11" x14ac:dyDescent="0.3">
      <c r="A41" s="6">
        <v>4</v>
      </c>
      <c r="B41" s="5">
        <v>34</v>
      </c>
      <c r="C41" s="6">
        <v>2</v>
      </c>
      <c r="D41" s="6"/>
      <c r="E41" s="6"/>
      <c r="F41" s="6"/>
      <c r="G41" s="6">
        <v>27</v>
      </c>
      <c r="H41" s="6"/>
      <c r="I41" s="6"/>
      <c r="J41" s="6"/>
      <c r="K41" s="34">
        <f t="shared" si="3"/>
        <v>-12.5</v>
      </c>
    </row>
    <row r="42" spans="1:11" x14ac:dyDescent="0.3">
      <c r="A42" s="6">
        <v>4</v>
      </c>
      <c r="B42" s="5">
        <v>35</v>
      </c>
      <c r="C42" s="6">
        <v>1</v>
      </c>
      <c r="D42" s="6"/>
      <c r="E42" s="6"/>
      <c r="F42" s="6"/>
      <c r="G42" s="6">
        <v>24</v>
      </c>
      <c r="H42" s="6"/>
      <c r="I42" s="6"/>
      <c r="J42" s="6"/>
      <c r="K42" s="34">
        <f t="shared" si="3"/>
        <v>0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/>
      <c r="E43" s="11"/>
      <c r="F43" s="11"/>
      <c r="G43" s="11">
        <v>10</v>
      </c>
      <c r="H43" s="11"/>
      <c r="I43" s="11"/>
      <c r="J43" s="39"/>
      <c r="K43" s="38">
        <f t="shared" si="3"/>
        <v>58.333333333333336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3"/>
  <sheetViews>
    <sheetView workbookViewId="0">
      <selection activeCell="K7" sqref="K7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27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  <c r="B5" t="s">
        <v>17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>
        <v>6</v>
      </c>
      <c r="E8" s="6">
        <v>6</v>
      </c>
      <c r="F8" s="6">
        <v>82</v>
      </c>
      <c r="G8" s="6">
        <v>4</v>
      </c>
      <c r="H8" s="6">
        <v>0</v>
      </c>
      <c r="I8" s="6">
        <v>0.62</v>
      </c>
      <c r="J8" s="6">
        <v>0</v>
      </c>
      <c r="K8" s="36">
        <f>(($G$16-G8)/$G$16)*100</f>
        <v>75</v>
      </c>
    </row>
    <row r="9" spans="1:11" x14ac:dyDescent="0.3">
      <c r="A9" s="6">
        <v>1</v>
      </c>
      <c r="B9" s="5">
        <v>2</v>
      </c>
      <c r="C9" s="6">
        <v>5</v>
      </c>
      <c r="D9" s="6">
        <v>5</v>
      </c>
      <c r="E9" s="6">
        <v>6</v>
      </c>
      <c r="F9" s="6">
        <v>78</v>
      </c>
      <c r="G9" s="6">
        <v>20</v>
      </c>
      <c r="H9" s="6">
        <v>0</v>
      </c>
      <c r="I9" s="6">
        <v>0.59</v>
      </c>
      <c r="J9" s="6">
        <v>0</v>
      </c>
      <c r="K9" s="34">
        <f t="shared" ref="K9:K16" si="0">(($G$16-G9)/$G$16)*100</f>
        <v>-25</v>
      </c>
    </row>
    <row r="10" spans="1:11" x14ac:dyDescent="0.3">
      <c r="A10" s="6">
        <v>1</v>
      </c>
      <c r="B10" s="5">
        <v>3</v>
      </c>
      <c r="C10" s="6">
        <v>4</v>
      </c>
      <c r="D10" s="6">
        <v>5.5</v>
      </c>
      <c r="E10" s="6">
        <v>6.5</v>
      </c>
      <c r="F10" s="6">
        <v>73</v>
      </c>
      <c r="G10" s="6">
        <v>27</v>
      </c>
      <c r="H10" s="6">
        <v>0</v>
      </c>
      <c r="I10" s="6">
        <v>0.67</v>
      </c>
      <c r="J10" s="6">
        <v>0</v>
      </c>
      <c r="K10" s="34">
        <f t="shared" si="0"/>
        <v>-68.75</v>
      </c>
    </row>
    <row r="11" spans="1:11" x14ac:dyDescent="0.3">
      <c r="A11" s="6">
        <v>1</v>
      </c>
      <c r="B11" s="5">
        <v>4</v>
      </c>
      <c r="C11" s="6">
        <v>7</v>
      </c>
      <c r="D11" s="6">
        <v>5</v>
      </c>
      <c r="E11" s="6">
        <v>5.5</v>
      </c>
      <c r="F11" s="6">
        <v>67</v>
      </c>
      <c r="G11" s="6">
        <v>31</v>
      </c>
      <c r="H11" s="6">
        <v>0</v>
      </c>
      <c r="I11" s="6">
        <v>0.59</v>
      </c>
      <c r="J11" s="6">
        <v>0</v>
      </c>
      <c r="K11" s="34">
        <f t="shared" si="0"/>
        <v>-93.75</v>
      </c>
    </row>
    <row r="12" spans="1:11" x14ac:dyDescent="0.3">
      <c r="A12" s="6">
        <v>1</v>
      </c>
      <c r="B12" s="5">
        <v>5</v>
      </c>
      <c r="C12" s="6">
        <v>2</v>
      </c>
      <c r="D12" s="6">
        <v>5.5</v>
      </c>
      <c r="E12" s="6">
        <v>6.5</v>
      </c>
      <c r="F12" s="6">
        <v>80</v>
      </c>
      <c r="G12" s="6">
        <v>18</v>
      </c>
      <c r="H12" s="6">
        <v>3</v>
      </c>
      <c r="I12" s="6">
        <v>0.65</v>
      </c>
      <c r="J12" s="6">
        <v>0</v>
      </c>
      <c r="K12" s="34">
        <f t="shared" si="0"/>
        <v>-12.5</v>
      </c>
    </row>
    <row r="13" spans="1:11" x14ac:dyDescent="0.3">
      <c r="A13" s="6">
        <v>1</v>
      </c>
      <c r="B13" s="5">
        <v>6</v>
      </c>
      <c r="C13" s="6">
        <v>6</v>
      </c>
      <c r="D13" s="6">
        <v>4</v>
      </c>
      <c r="E13" s="6">
        <v>5</v>
      </c>
      <c r="F13" s="6">
        <v>25</v>
      </c>
      <c r="G13" s="6">
        <v>72</v>
      </c>
      <c r="H13" s="6">
        <v>4</v>
      </c>
      <c r="I13" s="6">
        <v>0.51</v>
      </c>
      <c r="J13" s="6">
        <v>0</v>
      </c>
      <c r="K13" s="34">
        <f t="shared" si="0"/>
        <v>-350</v>
      </c>
    </row>
    <row r="14" spans="1:11" x14ac:dyDescent="0.3">
      <c r="A14" s="6">
        <v>1</v>
      </c>
      <c r="B14" s="5">
        <v>7</v>
      </c>
      <c r="C14" s="6">
        <v>8</v>
      </c>
      <c r="D14" s="6">
        <v>4</v>
      </c>
      <c r="E14" s="6">
        <v>5</v>
      </c>
      <c r="F14" s="6">
        <v>22</v>
      </c>
      <c r="G14" s="6">
        <v>76</v>
      </c>
      <c r="H14" s="6">
        <v>0</v>
      </c>
      <c r="I14" s="6">
        <v>0.52</v>
      </c>
      <c r="J14" s="6">
        <v>0</v>
      </c>
      <c r="K14" s="34">
        <f t="shared" si="0"/>
        <v>-375</v>
      </c>
    </row>
    <row r="15" spans="1:11" x14ac:dyDescent="0.3">
      <c r="A15" s="6">
        <v>1</v>
      </c>
      <c r="B15" s="5">
        <v>8</v>
      </c>
      <c r="C15" s="6">
        <v>3</v>
      </c>
      <c r="D15" s="6">
        <v>5.5</v>
      </c>
      <c r="E15" s="6">
        <v>6</v>
      </c>
      <c r="F15" s="6">
        <v>78</v>
      </c>
      <c r="G15" s="6">
        <v>19</v>
      </c>
      <c r="H15" s="6">
        <v>6</v>
      </c>
      <c r="I15" s="6">
        <v>0.64</v>
      </c>
      <c r="J15" s="6">
        <v>0</v>
      </c>
      <c r="K15" s="34">
        <f t="shared" si="0"/>
        <v>-18.75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>
        <v>5</v>
      </c>
      <c r="E16" s="10">
        <v>5</v>
      </c>
      <c r="F16" s="10">
        <v>82</v>
      </c>
      <c r="G16" s="10">
        <v>16</v>
      </c>
      <c r="H16" s="10">
        <v>3</v>
      </c>
      <c r="I16" s="10">
        <v>0.63</v>
      </c>
      <c r="J16" s="10">
        <v>0</v>
      </c>
      <c r="K16" s="38">
        <f t="shared" si="0"/>
        <v>0</v>
      </c>
    </row>
    <row r="17" spans="1:11" x14ac:dyDescent="0.3">
      <c r="A17" s="5">
        <v>2</v>
      </c>
      <c r="B17" s="5">
        <v>10</v>
      </c>
      <c r="C17" s="5">
        <v>2</v>
      </c>
      <c r="D17" s="5">
        <v>5</v>
      </c>
      <c r="E17" s="5">
        <v>5.5</v>
      </c>
      <c r="F17" s="5">
        <v>86</v>
      </c>
      <c r="G17" s="5">
        <v>12</v>
      </c>
      <c r="H17" s="5">
        <v>0</v>
      </c>
      <c r="I17" s="5">
        <v>0.56999999999999995</v>
      </c>
      <c r="J17" s="5">
        <v>0</v>
      </c>
      <c r="K17" s="36">
        <f>(($G$21-G17)/$G$21)*100</f>
        <v>74.468085106382972</v>
      </c>
    </row>
    <row r="18" spans="1:11" x14ac:dyDescent="0.3">
      <c r="A18" s="6">
        <v>2</v>
      </c>
      <c r="B18" s="5">
        <v>11</v>
      </c>
      <c r="C18" s="6">
        <v>9</v>
      </c>
      <c r="D18" s="6">
        <v>6</v>
      </c>
      <c r="E18" s="6">
        <v>6</v>
      </c>
      <c r="F18" s="6">
        <v>94</v>
      </c>
      <c r="G18" s="6">
        <v>5</v>
      </c>
      <c r="H18" s="6">
        <v>0</v>
      </c>
      <c r="I18" s="6">
        <v>0.66</v>
      </c>
      <c r="J18" s="6">
        <v>0</v>
      </c>
      <c r="K18" s="34">
        <f t="shared" ref="K18:K25" si="1">(($G$21-G18)/$G$21)*100</f>
        <v>89.361702127659569</v>
      </c>
    </row>
    <row r="19" spans="1:11" x14ac:dyDescent="0.3">
      <c r="A19" s="6">
        <v>2</v>
      </c>
      <c r="B19" s="5">
        <v>12</v>
      </c>
      <c r="C19" s="6">
        <v>8</v>
      </c>
      <c r="D19" s="6">
        <v>5</v>
      </c>
      <c r="E19" s="7">
        <v>5</v>
      </c>
      <c r="F19" s="6">
        <v>78</v>
      </c>
      <c r="G19" s="6">
        <v>19</v>
      </c>
      <c r="H19" s="6">
        <v>0</v>
      </c>
      <c r="I19" s="6">
        <v>0.64</v>
      </c>
      <c r="J19" s="6">
        <v>0</v>
      </c>
      <c r="K19" s="34">
        <f t="shared" si="1"/>
        <v>59.574468085106382</v>
      </c>
    </row>
    <row r="20" spans="1:11" x14ac:dyDescent="0.3">
      <c r="A20" s="6">
        <v>2</v>
      </c>
      <c r="B20" s="5">
        <v>13</v>
      </c>
      <c r="C20" s="6">
        <v>3</v>
      </c>
      <c r="D20" s="6">
        <v>4.5</v>
      </c>
      <c r="E20" s="6">
        <v>5</v>
      </c>
      <c r="F20" s="6">
        <v>75</v>
      </c>
      <c r="G20" s="6">
        <v>23</v>
      </c>
      <c r="H20" s="6">
        <v>0</v>
      </c>
      <c r="I20" s="6">
        <v>0.6</v>
      </c>
      <c r="J20" s="6">
        <v>0</v>
      </c>
      <c r="K20" s="34">
        <f t="shared" si="1"/>
        <v>51.063829787234042</v>
      </c>
    </row>
    <row r="21" spans="1:11" x14ac:dyDescent="0.3">
      <c r="A21" s="6">
        <v>2</v>
      </c>
      <c r="B21" s="5">
        <v>14</v>
      </c>
      <c r="C21" s="6">
        <v>1</v>
      </c>
      <c r="D21" s="6">
        <v>4</v>
      </c>
      <c r="E21" s="6">
        <v>4.5</v>
      </c>
      <c r="F21" s="6">
        <v>50</v>
      </c>
      <c r="G21" s="6">
        <v>47</v>
      </c>
      <c r="H21" s="6">
        <v>0</v>
      </c>
      <c r="I21" s="6">
        <v>0.62</v>
      </c>
      <c r="J21" s="6">
        <v>0</v>
      </c>
      <c r="K21" s="34">
        <f t="shared" si="1"/>
        <v>0</v>
      </c>
    </row>
    <row r="22" spans="1:11" x14ac:dyDescent="0.3">
      <c r="A22" s="6">
        <v>2</v>
      </c>
      <c r="B22" s="5">
        <v>15</v>
      </c>
      <c r="C22" s="6">
        <v>7</v>
      </c>
      <c r="D22" s="6">
        <v>4</v>
      </c>
      <c r="E22" s="6">
        <v>4</v>
      </c>
      <c r="F22" s="6">
        <v>28</v>
      </c>
      <c r="G22" s="6">
        <v>68</v>
      </c>
      <c r="H22" s="6">
        <v>0</v>
      </c>
      <c r="I22" s="6">
        <v>0.57999999999999996</v>
      </c>
      <c r="J22" s="6">
        <v>0</v>
      </c>
      <c r="K22" s="34">
        <f t="shared" si="1"/>
        <v>-44.680851063829785</v>
      </c>
    </row>
    <row r="23" spans="1:11" x14ac:dyDescent="0.3">
      <c r="A23" s="6">
        <v>2</v>
      </c>
      <c r="B23" s="5">
        <v>16</v>
      </c>
      <c r="C23" s="6">
        <v>5</v>
      </c>
      <c r="D23" s="6">
        <v>4.5</v>
      </c>
      <c r="E23" s="6">
        <v>4</v>
      </c>
      <c r="F23" s="6">
        <v>58</v>
      </c>
      <c r="G23" s="6">
        <v>36</v>
      </c>
      <c r="H23" s="6">
        <v>7</v>
      </c>
      <c r="I23" s="6">
        <v>0.53</v>
      </c>
      <c r="J23" s="6">
        <v>0</v>
      </c>
      <c r="K23" s="34">
        <f t="shared" si="1"/>
        <v>23.404255319148938</v>
      </c>
    </row>
    <row r="24" spans="1:11" x14ac:dyDescent="0.3">
      <c r="A24" s="6">
        <v>2</v>
      </c>
      <c r="B24" s="5">
        <v>17</v>
      </c>
      <c r="C24" s="6">
        <v>4</v>
      </c>
      <c r="D24" s="6">
        <v>5</v>
      </c>
      <c r="E24" s="6">
        <v>6</v>
      </c>
      <c r="F24" s="6">
        <v>77</v>
      </c>
      <c r="G24" s="6">
        <v>21</v>
      </c>
      <c r="H24" s="6">
        <v>0</v>
      </c>
      <c r="I24" s="6">
        <v>0.73</v>
      </c>
      <c r="J24" s="6">
        <v>0</v>
      </c>
      <c r="K24" s="34">
        <f t="shared" si="1"/>
        <v>55.319148936170215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>
        <v>4</v>
      </c>
      <c r="E25" s="10">
        <v>5</v>
      </c>
      <c r="F25" s="10">
        <v>82</v>
      </c>
      <c r="G25" s="10">
        <v>14</v>
      </c>
      <c r="H25" s="10">
        <v>0</v>
      </c>
      <c r="I25" s="10">
        <v>0.59</v>
      </c>
      <c r="J25" s="10">
        <v>0</v>
      </c>
      <c r="K25" s="38">
        <f t="shared" si="1"/>
        <v>70.212765957446805</v>
      </c>
    </row>
    <row r="26" spans="1:11" x14ac:dyDescent="0.3">
      <c r="A26" s="5">
        <v>3</v>
      </c>
      <c r="B26" s="5">
        <v>19</v>
      </c>
      <c r="C26" s="5">
        <v>7</v>
      </c>
      <c r="D26" s="5">
        <v>5</v>
      </c>
      <c r="E26" s="5">
        <v>5</v>
      </c>
      <c r="F26" s="5">
        <v>87</v>
      </c>
      <c r="G26" s="5">
        <v>11</v>
      </c>
      <c r="H26" s="5">
        <v>0</v>
      </c>
      <c r="I26" s="5">
        <v>0.6</v>
      </c>
      <c r="J26" s="5">
        <v>0</v>
      </c>
      <c r="K26" s="36">
        <f>(($G$31-G26)/$G$31)*100</f>
        <v>71.05263157894737</v>
      </c>
    </row>
    <row r="27" spans="1:11" x14ac:dyDescent="0.3">
      <c r="A27" s="6">
        <v>3</v>
      </c>
      <c r="B27" s="5">
        <v>20</v>
      </c>
      <c r="C27" s="6">
        <v>3</v>
      </c>
      <c r="D27" s="6">
        <v>5</v>
      </c>
      <c r="E27" s="6">
        <v>5</v>
      </c>
      <c r="F27" s="6">
        <v>90</v>
      </c>
      <c r="G27" s="6">
        <v>8</v>
      </c>
      <c r="H27" s="6">
        <v>0</v>
      </c>
      <c r="I27" s="6">
        <v>0.61</v>
      </c>
      <c r="J27" s="6">
        <v>0</v>
      </c>
      <c r="K27" s="34">
        <f t="shared" ref="K27:K34" si="2">(($G$31-G27)/$G$31)*100</f>
        <v>78.94736842105263</v>
      </c>
    </row>
    <row r="28" spans="1:11" x14ac:dyDescent="0.3">
      <c r="A28" s="6">
        <v>3</v>
      </c>
      <c r="B28" s="5">
        <v>21</v>
      </c>
      <c r="C28" s="6">
        <v>9</v>
      </c>
      <c r="D28" s="6">
        <v>5</v>
      </c>
      <c r="E28" s="6">
        <v>5.5</v>
      </c>
      <c r="F28" s="6">
        <v>83</v>
      </c>
      <c r="G28" s="6">
        <v>16</v>
      </c>
      <c r="H28" s="6">
        <v>0</v>
      </c>
      <c r="I28" s="6">
        <v>0.62</v>
      </c>
      <c r="J28" s="6">
        <v>0</v>
      </c>
      <c r="K28" s="34">
        <f t="shared" si="2"/>
        <v>57.894736842105267</v>
      </c>
    </row>
    <row r="29" spans="1:11" x14ac:dyDescent="0.3">
      <c r="A29" s="6">
        <v>3</v>
      </c>
      <c r="B29" s="5">
        <v>22</v>
      </c>
      <c r="C29" s="6">
        <v>4</v>
      </c>
      <c r="D29" s="6">
        <v>5</v>
      </c>
      <c r="E29" s="6">
        <v>6</v>
      </c>
      <c r="F29" s="6">
        <v>70</v>
      </c>
      <c r="G29" s="6">
        <v>28</v>
      </c>
      <c r="H29" s="6">
        <v>0</v>
      </c>
      <c r="I29" s="6">
        <v>0.7</v>
      </c>
      <c r="J29" s="6">
        <v>0</v>
      </c>
      <c r="K29" s="34">
        <f t="shared" si="2"/>
        <v>26.315789473684209</v>
      </c>
    </row>
    <row r="30" spans="1:11" x14ac:dyDescent="0.3">
      <c r="A30" s="6">
        <v>3</v>
      </c>
      <c r="B30" s="5">
        <v>23</v>
      </c>
      <c r="C30" s="6">
        <v>8</v>
      </c>
      <c r="D30" s="6">
        <v>4</v>
      </c>
      <c r="E30" s="6">
        <v>4</v>
      </c>
      <c r="F30" s="6">
        <v>23</v>
      </c>
      <c r="G30" s="6">
        <v>74</v>
      </c>
      <c r="H30" s="6">
        <v>0</v>
      </c>
      <c r="I30" s="6">
        <v>0.53</v>
      </c>
      <c r="J30" s="6">
        <v>0</v>
      </c>
      <c r="K30" s="34">
        <f t="shared" si="2"/>
        <v>-94.73684210526315</v>
      </c>
    </row>
    <row r="31" spans="1:11" x14ac:dyDescent="0.3">
      <c r="A31" s="6">
        <v>3</v>
      </c>
      <c r="B31" s="5">
        <v>24</v>
      </c>
      <c r="C31" s="6">
        <v>1</v>
      </c>
      <c r="D31" s="6">
        <v>4</v>
      </c>
      <c r="E31" s="6">
        <v>4.5</v>
      </c>
      <c r="F31" s="6">
        <v>61</v>
      </c>
      <c r="G31" s="6">
        <v>38</v>
      </c>
      <c r="H31" s="6">
        <v>0</v>
      </c>
      <c r="I31" s="6">
        <v>0.56000000000000005</v>
      </c>
      <c r="J31" s="6">
        <v>0</v>
      </c>
      <c r="K31" s="34">
        <f t="shared" si="2"/>
        <v>0</v>
      </c>
    </row>
    <row r="32" spans="1:11" x14ac:dyDescent="0.3">
      <c r="A32" s="6">
        <v>3</v>
      </c>
      <c r="B32" s="5">
        <v>25</v>
      </c>
      <c r="C32" s="6">
        <v>6</v>
      </c>
      <c r="D32" s="6">
        <v>3.5</v>
      </c>
      <c r="E32" s="6">
        <v>4.5</v>
      </c>
      <c r="F32" s="6">
        <v>52</v>
      </c>
      <c r="G32" s="6">
        <v>45</v>
      </c>
      <c r="H32" s="6">
        <v>0</v>
      </c>
      <c r="I32" s="6">
        <v>0.5</v>
      </c>
      <c r="J32" s="6">
        <v>0</v>
      </c>
      <c r="K32" s="34">
        <f t="shared" si="2"/>
        <v>-18.421052631578945</v>
      </c>
    </row>
    <row r="33" spans="1:11" x14ac:dyDescent="0.3">
      <c r="A33" s="6">
        <v>3</v>
      </c>
      <c r="B33" s="5">
        <v>26</v>
      </c>
      <c r="C33" s="6">
        <v>2</v>
      </c>
      <c r="D33" s="6">
        <v>5</v>
      </c>
      <c r="E33" s="6">
        <v>6</v>
      </c>
      <c r="F33" s="6">
        <v>81</v>
      </c>
      <c r="G33" s="6">
        <v>14</v>
      </c>
      <c r="H33" s="6">
        <v>0</v>
      </c>
      <c r="I33" s="6">
        <v>0.57999999999999996</v>
      </c>
      <c r="J33" s="6">
        <v>0</v>
      </c>
      <c r="K33" s="34">
        <f t="shared" si="2"/>
        <v>63.157894736842103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>
        <v>4.5</v>
      </c>
      <c r="E34" s="10">
        <v>5.5</v>
      </c>
      <c r="F34" s="10">
        <v>85</v>
      </c>
      <c r="G34" s="10">
        <v>13</v>
      </c>
      <c r="H34" s="10">
        <v>0</v>
      </c>
      <c r="I34" s="10">
        <v>0.59</v>
      </c>
      <c r="J34" s="10">
        <v>0</v>
      </c>
      <c r="K34" s="38">
        <f t="shared" si="2"/>
        <v>65.789473684210535</v>
      </c>
    </row>
    <row r="35" spans="1:11" x14ac:dyDescent="0.3">
      <c r="A35" s="5">
        <v>4</v>
      </c>
      <c r="B35" s="5">
        <v>28</v>
      </c>
      <c r="C35" s="9">
        <v>7</v>
      </c>
      <c r="D35" s="5">
        <v>4</v>
      </c>
      <c r="E35" s="5">
        <v>5</v>
      </c>
      <c r="F35" s="5">
        <v>82</v>
      </c>
      <c r="G35" s="5">
        <v>14</v>
      </c>
      <c r="H35" s="5">
        <v>0</v>
      </c>
      <c r="I35" s="5">
        <v>0.61</v>
      </c>
      <c r="J35" s="5">
        <v>0</v>
      </c>
      <c r="K35" s="36">
        <f>(($G$42-G35)/$G$42)*100</f>
        <v>26.315789473684209</v>
      </c>
    </row>
    <row r="36" spans="1:11" x14ac:dyDescent="0.3">
      <c r="A36" s="6">
        <v>4</v>
      </c>
      <c r="B36" s="5">
        <v>29</v>
      </c>
      <c r="C36" s="6">
        <v>3</v>
      </c>
      <c r="D36" s="6">
        <v>5</v>
      </c>
      <c r="E36" s="6">
        <v>6</v>
      </c>
      <c r="F36" s="6">
        <v>91</v>
      </c>
      <c r="G36" s="6">
        <v>7</v>
      </c>
      <c r="H36" s="6">
        <v>0</v>
      </c>
      <c r="I36" s="6">
        <v>0.64</v>
      </c>
      <c r="J36" s="6">
        <v>0</v>
      </c>
      <c r="K36" s="34">
        <f t="shared" ref="K36:K43" si="3">(($G$42-G36)/$G$42)*100</f>
        <v>63.157894736842103</v>
      </c>
    </row>
    <row r="37" spans="1:11" x14ac:dyDescent="0.3">
      <c r="A37" s="6">
        <v>4</v>
      </c>
      <c r="B37" s="5">
        <v>30</v>
      </c>
      <c r="C37" s="6">
        <v>4</v>
      </c>
      <c r="D37" s="6">
        <v>5</v>
      </c>
      <c r="E37" s="6">
        <v>6</v>
      </c>
      <c r="F37" s="6">
        <v>81</v>
      </c>
      <c r="G37" s="6">
        <v>16</v>
      </c>
      <c r="H37" s="6">
        <v>0</v>
      </c>
      <c r="I37" s="6">
        <v>0.7</v>
      </c>
      <c r="J37" s="6">
        <v>0</v>
      </c>
      <c r="K37" s="34">
        <f t="shared" si="3"/>
        <v>15.789473684210526</v>
      </c>
    </row>
    <row r="38" spans="1:11" x14ac:dyDescent="0.3">
      <c r="A38" s="6">
        <v>4</v>
      </c>
      <c r="B38" s="5">
        <v>31</v>
      </c>
      <c r="C38" s="6">
        <v>6</v>
      </c>
      <c r="D38" s="6">
        <v>4</v>
      </c>
      <c r="E38" s="6">
        <v>5</v>
      </c>
      <c r="F38" s="6">
        <v>76</v>
      </c>
      <c r="G38" s="6">
        <v>22</v>
      </c>
      <c r="H38" s="6">
        <v>3</v>
      </c>
      <c r="I38" s="6">
        <v>0.64</v>
      </c>
      <c r="J38" s="6">
        <v>0</v>
      </c>
      <c r="K38" s="34">
        <f t="shared" si="3"/>
        <v>-15.789473684210526</v>
      </c>
    </row>
    <row r="39" spans="1:11" x14ac:dyDescent="0.3">
      <c r="A39" s="6">
        <v>4</v>
      </c>
      <c r="B39" s="5">
        <v>32</v>
      </c>
      <c r="C39" s="6">
        <v>5</v>
      </c>
      <c r="D39" s="6">
        <v>4</v>
      </c>
      <c r="E39" s="6">
        <v>4.5</v>
      </c>
      <c r="F39" s="6">
        <v>76</v>
      </c>
      <c r="G39" s="6">
        <v>19</v>
      </c>
      <c r="H39" s="6">
        <v>0</v>
      </c>
      <c r="I39" s="6">
        <v>0.6</v>
      </c>
      <c r="J39" s="6">
        <v>0</v>
      </c>
      <c r="K39" s="34">
        <f t="shared" si="3"/>
        <v>0</v>
      </c>
    </row>
    <row r="40" spans="1:11" x14ac:dyDescent="0.3">
      <c r="A40" s="6">
        <v>4</v>
      </c>
      <c r="B40" s="5">
        <v>33</v>
      </c>
      <c r="C40" s="6">
        <v>9</v>
      </c>
      <c r="D40" s="6">
        <v>5</v>
      </c>
      <c r="E40" s="6">
        <v>5.5</v>
      </c>
      <c r="F40" s="6">
        <v>87</v>
      </c>
      <c r="G40" s="6">
        <v>11</v>
      </c>
      <c r="H40" s="6">
        <v>0</v>
      </c>
      <c r="I40" s="6">
        <v>0.56999999999999995</v>
      </c>
      <c r="J40" s="6">
        <v>0</v>
      </c>
      <c r="K40" s="34">
        <f t="shared" si="3"/>
        <v>42.105263157894733</v>
      </c>
    </row>
    <row r="41" spans="1:11" x14ac:dyDescent="0.3">
      <c r="A41" s="6">
        <v>4</v>
      </c>
      <c r="B41" s="5">
        <v>34</v>
      </c>
      <c r="C41" s="6">
        <v>2</v>
      </c>
      <c r="D41" s="6">
        <v>4</v>
      </c>
      <c r="E41" s="6">
        <v>5.5</v>
      </c>
      <c r="F41" s="6">
        <v>83</v>
      </c>
      <c r="G41" s="6">
        <v>16</v>
      </c>
      <c r="H41" s="6">
        <v>0</v>
      </c>
      <c r="I41" s="6">
        <v>0.64</v>
      </c>
      <c r="J41" s="6">
        <v>0</v>
      </c>
      <c r="K41" s="34">
        <f t="shared" si="3"/>
        <v>15.789473684210526</v>
      </c>
    </row>
    <row r="42" spans="1:11" x14ac:dyDescent="0.3">
      <c r="A42" s="6">
        <v>4</v>
      </c>
      <c r="B42" s="5">
        <v>35</v>
      </c>
      <c r="C42" s="6">
        <v>1</v>
      </c>
      <c r="D42" s="6">
        <v>4.5</v>
      </c>
      <c r="E42" s="6">
        <v>4.5</v>
      </c>
      <c r="F42" s="6">
        <v>80</v>
      </c>
      <c r="G42" s="6">
        <v>19</v>
      </c>
      <c r="H42" s="6">
        <v>0</v>
      </c>
      <c r="I42" s="6">
        <v>0.56999999999999995</v>
      </c>
      <c r="J42" s="6">
        <v>0</v>
      </c>
      <c r="K42" s="34">
        <f t="shared" si="3"/>
        <v>0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>
        <v>5</v>
      </c>
      <c r="E43" s="11">
        <v>5</v>
      </c>
      <c r="F43" s="11">
        <v>92</v>
      </c>
      <c r="G43" s="11">
        <v>6</v>
      </c>
      <c r="H43" s="11">
        <v>0</v>
      </c>
      <c r="I43" s="11">
        <v>0.6</v>
      </c>
      <c r="J43" s="12">
        <v>0</v>
      </c>
      <c r="K43" s="38">
        <f t="shared" si="3"/>
        <v>68.421052631578945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3"/>
  <sheetViews>
    <sheetView workbookViewId="0">
      <selection activeCell="K7" sqref="K7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28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  <c r="B5" t="s">
        <v>17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/>
      <c r="E8" s="6"/>
      <c r="F8" s="6"/>
      <c r="G8" s="6">
        <v>6</v>
      </c>
      <c r="H8" s="6"/>
      <c r="I8" s="6"/>
      <c r="J8" s="6">
        <v>0</v>
      </c>
      <c r="K8" s="36">
        <f>(($G$16-G8)/$G$16)*100</f>
        <v>70</v>
      </c>
    </row>
    <row r="9" spans="1:11" x14ac:dyDescent="0.3">
      <c r="A9" s="6">
        <v>1</v>
      </c>
      <c r="B9" s="5">
        <v>2</v>
      </c>
      <c r="C9" s="6">
        <v>5</v>
      </c>
      <c r="D9" s="6"/>
      <c r="E9" s="6"/>
      <c r="F9" s="6"/>
      <c r="G9" s="6">
        <v>26</v>
      </c>
      <c r="H9" s="6"/>
      <c r="I9" s="6"/>
      <c r="J9" s="6">
        <v>0</v>
      </c>
      <c r="K9" s="34">
        <f t="shared" ref="K9:K15" si="0">(($G$16-G9)/$G$16)*100</f>
        <v>-30</v>
      </c>
    </row>
    <row r="10" spans="1:11" x14ac:dyDescent="0.3">
      <c r="A10" s="6">
        <v>1</v>
      </c>
      <c r="B10" s="5">
        <v>3</v>
      </c>
      <c r="C10" s="6">
        <v>4</v>
      </c>
      <c r="D10" s="6"/>
      <c r="E10" s="6"/>
      <c r="F10" s="6"/>
      <c r="G10" s="6">
        <v>28</v>
      </c>
      <c r="H10" s="6"/>
      <c r="I10" s="6"/>
      <c r="J10" s="6">
        <v>0</v>
      </c>
      <c r="K10" s="34">
        <f t="shared" si="0"/>
        <v>-40</v>
      </c>
    </row>
    <row r="11" spans="1:11" x14ac:dyDescent="0.3">
      <c r="A11" s="6">
        <v>1</v>
      </c>
      <c r="B11" s="5">
        <v>4</v>
      </c>
      <c r="C11" s="6">
        <v>7</v>
      </c>
      <c r="D11" s="6"/>
      <c r="E11" s="6"/>
      <c r="F11" s="6"/>
      <c r="G11" s="6">
        <v>37</v>
      </c>
      <c r="H11" s="6"/>
      <c r="I11" s="6"/>
      <c r="J11" s="6">
        <v>0</v>
      </c>
      <c r="K11" s="34">
        <f t="shared" si="0"/>
        <v>-85</v>
      </c>
    </row>
    <row r="12" spans="1:11" x14ac:dyDescent="0.3">
      <c r="A12" s="6">
        <v>1</v>
      </c>
      <c r="B12" s="5">
        <v>5</v>
      </c>
      <c r="C12" s="6">
        <v>2</v>
      </c>
      <c r="D12" s="6"/>
      <c r="E12" s="6"/>
      <c r="F12" s="6"/>
      <c r="G12" s="6">
        <v>20</v>
      </c>
      <c r="H12" s="6"/>
      <c r="I12" s="6"/>
      <c r="J12" s="6">
        <v>0</v>
      </c>
      <c r="K12" s="34">
        <f t="shared" si="0"/>
        <v>0</v>
      </c>
    </row>
    <row r="13" spans="1:11" x14ac:dyDescent="0.3">
      <c r="A13" s="6">
        <v>1</v>
      </c>
      <c r="B13" s="5">
        <v>6</v>
      </c>
      <c r="C13" s="6">
        <v>6</v>
      </c>
      <c r="D13" s="6"/>
      <c r="E13" s="6"/>
      <c r="F13" s="6"/>
      <c r="G13" s="6">
        <v>78</v>
      </c>
      <c r="H13" s="6"/>
      <c r="I13" s="6"/>
      <c r="J13" s="6">
        <v>0</v>
      </c>
      <c r="K13" s="34">
        <f>(($G$16-G13)/$G$16)*100</f>
        <v>-290</v>
      </c>
    </row>
    <row r="14" spans="1:11" x14ac:dyDescent="0.3">
      <c r="A14" s="6">
        <v>1</v>
      </c>
      <c r="B14" s="5">
        <v>7</v>
      </c>
      <c r="C14" s="6">
        <v>8</v>
      </c>
      <c r="D14" s="6"/>
      <c r="E14" s="6"/>
      <c r="F14" s="6"/>
      <c r="G14" s="6">
        <v>83</v>
      </c>
      <c r="H14" s="6"/>
      <c r="I14" s="6"/>
      <c r="J14" s="6">
        <v>0</v>
      </c>
      <c r="K14" s="34">
        <f t="shared" si="0"/>
        <v>-315</v>
      </c>
    </row>
    <row r="15" spans="1:11" x14ac:dyDescent="0.3">
      <c r="A15" s="6">
        <v>1</v>
      </c>
      <c r="B15" s="5">
        <v>8</v>
      </c>
      <c r="C15" s="6">
        <v>3</v>
      </c>
      <c r="D15" s="6"/>
      <c r="E15" s="6"/>
      <c r="F15" s="6"/>
      <c r="G15" s="6">
        <v>22</v>
      </c>
      <c r="H15" s="6"/>
      <c r="I15" s="6"/>
      <c r="J15" s="6">
        <v>0</v>
      </c>
      <c r="K15" s="34">
        <f t="shared" si="0"/>
        <v>-10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/>
      <c r="E16" s="10"/>
      <c r="F16" s="10"/>
      <c r="G16" s="10">
        <v>20</v>
      </c>
      <c r="H16" s="10"/>
      <c r="I16" s="10"/>
      <c r="J16" s="10">
        <v>0</v>
      </c>
      <c r="K16" s="38">
        <f>(($G$16-G16)/$G$16)*100</f>
        <v>0</v>
      </c>
    </row>
    <row r="17" spans="1:11" x14ac:dyDescent="0.3">
      <c r="A17" s="5">
        <v>2</v>
      </c>
      <c r="B17" s="5">
        <v>10</v>
      </c>
      <c r="C17" s="5">
        <v>2</v>
      </c>
      <c r="D17" s="5"/>
      <c r="E17" s="5"/>
      <c r="F17" s="5"/>
      <c r="G17" s="5">
        <v>19</v>
      </c>
      <c r="H17" s="5"/>
      <c r="I17" s="5"/>
      <c r="J17" s="5">
        <v>0</v>
      </c>
      <c r="K17" s="36">
        <f>(($G$21-G17)/$G$21)*100</f>
        <v>67.241379310344826</v>
      </c>
    </row>
    <row r="18" spans="1:11" x14ac:dyDescent="0.3">
      <c r="A18" s="6">
        <v>2</v>
      </c>
      <c r="B18" s="5">
        <v>11</v>
      </c>
      <c r="C18" s="6">
        <v>9</v>
      </c>
      <c r="D18" s="6"/>
      <c r="E18" s="6"/>
      <c r="F18" s="6"/>
      <c r="G18" s="6">
        <v>6</v>
      </c>
      <c r="H18" s="6"/>
      <c r="I18" s="6"/>
      <c r="J18" s="6">
        <v>0</v>
      </c>
      <c r="K18" s="34">
        <f t="shared" ref="K18:K25" si="1">(($G$21-G18)/$G$21)*100</f>
        <v>89.65517241379311</v>
      </c>
    </row>
    <row r="19" spans="1:11" x14ac:dyDescent="0.3">
      <c r="A19" s="6">
        <v>2</v>
      </c>
      <c r="B19" s="5">
        <v>12</v>
      </c>
      <c r="C19" s="6">
        <v>8</v>
      </c>
      <c r="D19" s="6"/>
      <c r="E19" s="7"/>
      <c r="F19" s="6"/>
      <c r="G19" s="6">
        <v>27</v>
      </c>
      <c r="H19" s="6"/>
      <c r="I19" s="6"/>
      <c r="J19" s="6">
        <v>0</v>
      </c>
      <c r="K19" s="34">
        <f t="shared" si="1"/>
        <v>53.448275862068961</v>
      </c>
    </row>
    <row r="20" spans="1:11" x14ac:dyDescent="0.3">
      <c r="A20" s="6">
        <v>2</v>
      </c>
      <c r="B20" s="5">
        <v>13</v>
      </c>
      <c r="C20" s="6">
        <v>3</v>
      </c>
      <c r="D20" s="6"/>
      <c r="E20" s="6"/>
      <c r="F20" s="6"/>
      <c r="G20" s="6">
        <v>24</v>
      </c>
      <c r="H20" s="6"/>
      <c r="I20" s="6"/>
      <c r="J20" s="6">
        <v>0</v>
      </c>
      <c r="K20" s="34">
        <f t="shared" si="1"/>
        <v>58.620689655172406</v>
      </c>
    </row>
    <row r="21" spans="1:11" x14ac:dyDescent="0.3">
      <c r="A21" s="6">
        <v>2</v>
      </c>
      <c r="B21" s="5">
        <v>14</v>
      </c>
      <c r="C21" s="6">
        <v>1</v>
      </c>
      <c r="D21" s="6"/>
      <c r="E21" s="6"/>
      <c r="F21" s="6"/>
      <c r="G21" s="6">
        <v>58</v>
      </c>
      <c r="H21" s="6"/>
      <c r="I21" s="6"/>
      <c r="J21" s="6">
        <v>0</v>
      </c>
      <c r="K21" s="34">
        <f t="shared" si="1"/>
        <v>0</v>
      </c>
    </row>
    <row r="22" spans="1:11" x14ac:dyDescent="0.3">
      <c r="A22" s="6">
        <v>2</v>
      </c>
      <c r="B22" s="5">
        <v>15</v>
      </c>
      <c r="C22" s="6">
        <v>7</v>
      </c>
      <c r="D22" s="6"/>
      <c r="E22" s="6"/>
      <c r="F22" s="6"/>
      <c r="G22" s="6">
        <v>63</v>
      </c>
      <c r="H22" s="6"/>
      <c r="I22" s="6"/>
      <c r="J22" s="6">
        <v>0</v>
      </c>
      <c r="K22" s="34">
        <f t="shared" si="1"/>
        <v>-8.6206896551724146</v>
      </c>
    </row>
    <row r="23" spans="1:11" x14ac:dyDescent="0.3">
      <c r="A23" s="6">
        <v>2</v>
      </c>
      <c r="B23" s="5">
        <v>16</v>
      </c>
      <c r="C23" s="6">
        <v>5</v>
      </c>
      <c r="D23" s="6"/>
      <c r="E23" s="6"/>
      <c r="F23" s="6"/>
      <c r="G23" s="6">
        <v>54</v>
      </c>
      <c r="H23" s="6"/>
      <c r="I23" s="6"/>
      <c r="J23" s="6">
        <v>0</v>
      </c>
      <c r="K23" s="34">
        <f t="shared" si="1"/>
        <v>6.8965517241379306</v>
      </c>
    </row>
    <row r="24" spans="1:11" x14ac:dyDescent="0.3">
      <c r="A24" s="6">
        <v>2</v>
      </c>
      <c r="B24" s="5">
        <v>17</v>
      </c>
      <c r="C24" s="6">
        <v>4</v>
      </c>
      <c r="D24" s="6"/>
      <c r="E24" s="6"/>
      <c r="F24" s="6"/>
      <c r="G24" s="6">
        <v>17</v>
      </c>
      <c r="H24" s="6"/>
      <c r="I24" s="6"/>
      <c r="J24" s="6">
        <v>0</v>
      </c>
      <c r="K24" s="34">
        <f t="shared" si="1"/>
        <v>70.689655172413794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/>
      <c r="E25" s="10"/>
      <c r="F25" s="10"/>
      <c r="G25" s="10">
        <v>19</v>
      </c>
      <c r="H25" s="10"/>
      <c r="I25" s="10"/>
      <c r="J25" s="10">
        <v>0</v>
      </c>
      <c r="K25" s="38">
        <f t="shared" si="1"/>
        <v>67.241379310344826</v>
      </c>
    </row>
    <row r="26" spans="1:11" x14ac:dyDescent="0.3">
      <c r="A26" s="5">
        <v>3</v>
      </c>
      <c r="B26" s="5">
        <v>19</v>
      </c>
      <c r="C26" s="5">
        <v>7</v>
      </c>
      <c r="D26" s="5"/>
      <c r="E26" s="5"/>
      <c r="F26" s="5"/>
      <c r="G26" s="5">
        <v>14</v>
      </c>
      <c r="H26" s="5"/>
      <c r="I26" s="5"/>
      <c r="J26" s="5">
        <v>0</v>
      </c>
      <c r="K26" s="36">
        <f>(($G$31-G26)/$G$31)*100</f>
        <v>63.157894736842103</v>
      </c>
    </row>
    <row r="27" spans="1:11" x14ac:dyDescent="0.3">
      <c r="A27" s="6">
        <v>3</v>
      </c>
      <c r="B27" s="5">
        <v>20</v>
      </c>
      <c r="C27" s="6">
        <v>3</v>
      </c>
      <c r="D27" s="6"/>
      <c r="E27" s="6"/>
      <c r="F27" s="6"/>
      <c r="G27" s="6">
        <v>9</v>
      </c>
      <c r="H27" s="6"/>
      <c r="I27" s="6"/>
      <c r="J27" s="6">
        <v>0</v>
      </c>
      <c r="K27" s="34">
        <f t="shared" ref="K27:K34" si="2">(($G$31-G27)/$G$31)*100</f>
        <v>76.31578947368422</v>
      </c>
    </row>
    <row r="28" spans="1:11" x14ac:dyDescent="0.3">
      <c r="A28" s="6">
        <v>3</v>
      </c>
      <c r="B28" s="5">
        <v>21</v>
      </c>
      <c r="C28" s="6">
        <v>9</v>
      </c>
      <c r="D28" s="6"/>
      <c r="E28" s="6"/>
      <c r="F28" s="6"/>
      <c r="G28" s="6">
        <v>20</v>
      </c>
      <c r="H28" s="6"/>
      <c r="I28" s="6"/>
      <c r="J28" s="6">
        <v>0</v>
      </c>
      <c r="K28" s="34">
        <f t="shared" si="2"/>
        <v>47.368421052631575</v>
      </c>
    </row>
    <row r="29" spans="1:11" x14ac:dyDescent="0.3">
      <c r="A29" s="6">
        <v>3</v>
      </c>
      <c r="B29" s="5">
        <v>22</v>
      </c>
      <c r="C29" s="6">
        <v>4</v>
      </c>
      <c r="D29" s="6"/>
      <c r="E29" s="6"/>
      <c r="F29" s="6"/>
      <c r="G29" s="6">
        <v>37</v>
      </c>
      <c r="H29" s="6"/>
      <c r="I29" s="6"/>
      <c r="J29" s="6">
        <v>0</v>
      </c>
      <c r="K29" s="34">
        <f t="shared" si="2"/>
        <v>2.6315789473684208</v>
      </c>
    </row>
    <row r="30" spans="1:11" x14ac:dyDescent="0.3">
      <c r="A30" s="6">
        <v>3</v>
      </c>
      <c r="B30" s="5">
        <v>23</v>
      </c>
      <c r="C30" s="6">
        <v>8</v>
      </c>
      <c r="D30" s="6"/>
      <c r="E30" s="6"/>
      <c r="F30" s="6"/>
      <c r="G30" s="6">
        <v>66</v>
      </c>
      <c r="H30" s="6"/>
      <c r="I30" s="6"/>
      <c r="J30" s="6">
        <v>0</v>
      </c>
      <c r="K30" s="34">
        <f t="shared" si="2"/>
        <v>-73.68421052631578</v>
      </c>
    </row>
    <row r="31" spans="1:11" x14ac:dyDescent="0.3">
      <c r="A31" s="6">
        <v>3</v>
      </c>
      <c r="B31" s="5">
        <v>24</v>
      </c>
      <c r="C31" s="6">
        <v>1</v>
      </c>
      <c r="D31" s="6"/>
      <c r="E31" s="6"/>
      <c r="F31" s="6"/>
      <c r="G31" s="6">
        <v>38</v>
      </c>
      <c r="H31" s="6"/>
      <c r="I31" s="6"/>
      <c r="J31" s="6">
        <v>0</v>
      </c>
      <c r="K31" s="34">
        <f t="shared" si="2"/>
        <v>0</v>
      </c>
    </row>
    <row r="32" spans="1:11" x14ac:dyDescent="0.3">
      <c r="A32" s="6">
        <v>3</v>
      </c>
      <c r="B32" s="5">
        <v>25</v>
      </c>
      <c r="C32" s="6">
        <v>6</v>
      </c>
      <c r="D32" s="6"/>
      <c r="E32" s="6"/>
      <c r="F32" s="6"/>
      <c r="G32" s="6">
        <v>47</v>
      </c>
      <c r="H32" s="6"/>
      <c r="I32" s="6"/>
      <c r="J32" s="6">
        <v>0</v>
      </c>
      <c r="K32" s="34">
        <f t="shared" si="2"/>
        <v>-23.684210526315788</v>
      </c>
    </row>
    <row r="33" spans="1:11" x14ac:dyDescent="0.3">
      <c r="A33" s="6">
        <v>3</v>
      </c>
      <c r="B33" s="5">
        <v>26</v>
      </c>
      <c r="C33" s="6">
        <v>2</v>
      </c>
      <c r="D33" s="6"/>
      <c r="E33" s="6"/>
      <c r="F33" s="6"/>
      <c r="G33" s="6">
        <v>18</v>
      </c>
      <c r="H33" s="6"/>
      <c r="I33" s="6"/>
      <c r="J33" s="6">
        <v>0</v>
      </c>
      <c r="K33" s="34">
        <f t="shared" si="2"/>
        <v>52.631578947368418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/>
      <c r="E34" s="10"/>
      <c r="F34" s="10"/>
      <c r="G34" s="10">
        <v>24</v>
      </c>
      <c r="H34" s="10"/>
      <c r="I34" s="10"/>
      <c r="J34" s="10">
        <v>0</v>
      </c>
      <c r="K34" s="38">
        <f t="shared" si="2"/>
        <v>36.84210526315789</v>
      </c>
    </row>
    <row r="35" spans="1:11" x14ac:dyDescent="0.3">
      <c r="A35" s="5">
        <v>4</v>
      </c>
      <c r="B35" s="5">
        <v>28</v>
      </c>
      <c r="C35" s="9">
        <v>7</v>
      </c>
      <c r="D35" s="5"/>
      <c r="E35" s="5"/>
      <c r="F35" s="5"/>
      <c r="G35" s="5">
        <v>19</v>
      </c>
      <c r="H35" s="5"/>
      <c r="I35" s="5"/>
      <c r="J35" s="5">
        <v>0</v>
      </c>
      <c r="K35" s="36">
        <f>(($G$42-G35)/$G$42)*100</f>
        <v>44.117647058823529</v>
      </c>
    </row>
    <row r="36" spans="1:11" x14ac:dyDescent="0.3">
      <c r="A36" s="6">
        <v>4</v>
      </c>
      <c r="B36" s="5">
        <v>29</v>
      </c>
      <c r="C36" s="6">
        <v>3</v>
      </c>
      <c r="D36" s="6"/>
      <c r="E36" s="6"/>
      <c r="F36" s="6"/>
      <c r="G36" s="6">
        <v>11</v>
      </c>
      <c r="H36" s="6"/>
      <c r="I36" s="6"/>
      <c r="J36" s="6">
        <v>0</v>
      </c>
      <c r="K36" s="34">
        <f t="shared" ref="K36:K43" si="3">(($G$42-G36)/$G$42)*100</f>
        <v>67.64705882352942</v>
      </c>
    </row>
    <row r="37" spans="1:11" x14ac:dyDescent="0.3">
      <c r="A37" s="6">
        <v>4</v>
      </c>
      <c r="B37" s="5">
        <v>30</v>
      </c>
      <c r="C37" s="6">
        <v>4</v>
      </c>
      <c r="D37" s="6"/>
      <c r="E37" s="6"/>
      <c r="F37" s="6"/>
      <c r="G37" s="6">
        <v>17</v>
      </c>
      <c r="H37" s="6"/>
      <c r="I37" s="6"/>
      <c r="J37" s="6">
        <v>0</v>
      </c>
      <c r="K37" s="34">
        <f t="shared" si="3"/>
        <v>50</v>
      </c>
    </row>
    <row r="38" spans="1:11" x14ac:dyDescent="0.3">
      <c r="A38" s="6">
        <v>4</v>
      </c>
      <c r="B38" s="5">
        <v>31</v>
      </c>
      <c r="C38" s="6">
        <v>6</v>
      </c>
      <c r="D38" s="6"/>
      <c r="E38" s="6"/>
      <c r="F38" s="6"/>
      <c r="G38" s="6">
        <v>39</v>
      </c>
      <c r="H38" s="6"/>
      <c r="I38" s="6"/>
      <c r="J38" s="6">
        <v>0</v>
      </c>
      <c r="K38" s="34">
        <f t="shared" si="3"/>
        <v>-14.705882352941178</v>
      </c>
    </row>
    <row r="39" spans="1:11" x14ac:dyDescent="0.3">
      <c r="A39" s="6">
        <v>4</v>
      </c>
      <c r="B39" s="5">
        <v>32</v>
      </c>
      <c r="C39" s="6">
        <v>5</v>
      </c>
      <c r="D39" s="6"/>
      <c r="E39" s="6"/>
      <c r="F39" s="6"/>
      <c r="G39" s="6">
        <v>44</v>
      </c>
      <c r="H39" s="6"/>
      <c r="I39" s="6"/>
      <c r="J39" s="6">
        <v>0</v>
      </c>
      <c r="K39" s="34">
        <f t="shared" si="3"/>
        <v>-29.411764705882355</v>
      </c>
    </row>
    <row r="40" spans="1:11" x14ac:dyDescent="0.3">
      <c r="A40" s="6">
        <v>4</v>
      </c>
      <c r="B40" s="5">
        <v>33</v>
      </c>
      <c r="C40" s="6">
        <v>9</v>
      </c>
      <c r="D40" s="6"/>
      <c r="E40" s="6"/>
      <c r="F40" s="6"/>
      <c r="G40" s="6">
        <v>23</v>
      </c>
      <c r="H40" s="6"/>
      <c r="I40" s="6"/>
      <c r="J40" s="6">
        <v>0</v>
      </c>
      <c r="K40" s="34">
        <f t="shared" si="3"/>
        <v>32.352941176470587</v>
      </c>
    </row>
    <row r="41" spans="1:11" x14ac:dyDescent="0.3">
      <c r="A41" s="6">
        <v>4</v>
      </c>
      <c r="B41" s="5">
        <v>34</v>
      </c>
      <c r="C41" s="6">
        <v>2</v>
      </c>
      <c r="D41" s="6"/>
      <c r="E41" s="6"/>
      <c r="F41" s="6"/>
      <c r="G41" s="6">
        <v>29</v>
      </c>
      <c r="H41" s="6"/>
      <c r="I41" s="6"/>
      <c r="J41" s="6">
        <v>0</v>
      </c>
      <c r="K41" s="34">
        <f t="shared" si="3"/>
        <v>14.705882352941178</v>
      </c>
    </row>
    <row r="42" spans="1:11" x14ac:dyDescent="0.3">
      <c r="A42" s="6">
        <v>4</v>
      </c>
      <c r="B42" s="5">
        <v>35</v>
      </c>
      <c r="C42" s="6">
        <v>1</v>
      </c>
      <c r="D42" s="6"/>
      <c r="E42" s="6"/>
      <c r="F42" s="6"/>
      <c r="G42" s="6">
        <v>34</v>
      </c>
      <c r="H42" s="6"/>
      <c r="I42" s="6"/>
      <c r="J42" s="6">
        <v>0</v>
      </c>
      <c r="K42" s="34">
        <f t="shared" si="3"/>
        <v>0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/>
      <c r="E43" s="11"/>
      <c r="F43" s="11"/>
      <c r="G43" s="11">
        <v>19</v>
      </c>
      <c r="H43" s="11"/>
      <c r="I43" s="11"/>
      <c r="J43" s="12">
        <v>0</v>
      </c>
      <c r="K43" s="38">
        <f t="shared" si="3"/>
        <v>44.117647058823529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3"/>
  <sheetViews>
    <sheetView workbookViewId="0">
      <selection activeCell="K7" sqref="K7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29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  <c r="B5" t="s">
        <v>17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>
        <v>6</v>
      </c>
      <c r="E8" s="6">
        <v>6</v>
      </c>
      <c r="F8" s="6">
        <v>83</v>
      </c>
      <c r="G8" s="6">
        <v>7</v>
      </c>
      <c r="H8" s="6">
        <v>2</v>
      </c>
      <c r="I8" s="6">
        <v>0.6</v>
      </c>
      <c r="J8" s="6">
        <v>0</v>
      </c>
      <c r="K8" s="36">
        <f>(($G$16-G8)/$G$16)*100</f>
        <v>73.076923076923066</v>
      </c>
    </row>
    <row r="9" spans="1:11" x14ac:dyDescent="0.3">
      <c r="A9" s="6">
        <v>1</v>
      </c>
      <c r="B9" s="5">
        <v>2</v>
      </c>
      <c r="C9" s="6">
        <v>5</v>
      </c>
      <c r="D9" s="6">
        <v>5</v>
      </c>
      <c r="E9" s="6">
        <v>6</v>
      </c>
      <c r="F9" s="6">
        <v>68</v>
      </c>
      <c r="G9" s="6">
        <v>29</v>
      </c>
      <c r="H9" s="6">
        <v>3</v>
      </c>
      <c r="I9" s="6">
        <v>0.57999999999999996</v>
      </c>
      <c r="J9" s="6">
        <v>0</v>
      </c>
      <c r="K9" s="34">
        <f t="shared" ref="K9:K16" si="0">(($G$16-G9)/$G$16)*100</f>
        <v>-11.538461538461538</v>
      </c>
    </row>
    <row r="10" spans="1:11" x14ac:dyDescent="0.3">
      <c r="A10" s="6">
        <v>1</v>
      </c>
      <c r="B10" s="5">
        <v>3</v>
      </c>
      <c r="C10" s="6">
        <v>4</v>
      </c>
      <c r="D10" s="6">
        <v>6</v>
      </c>
      <c r="E10" s="6">
        <v>6.5</v>
      </c>
      <c r="F10" s="6">
        <v>70</v>
      </c>
      <c r="G10" s="6">
        <v>28</v>
      </c>
      <c r="H10" s="6">
        <v>0</v>
      </c>
      <c r="I10" s="6">
        <v>0.71</v>
      </c>
      <c r="J10" s="6">
        <v>0</v>
      </c>
      <c r="K10" s="34">
        <f t="shared" si="0"/>
        <v>-7.6923076923076925</v>
      </c>
    </row>
    <row r="11" spans="1:11" x14ac:dyDescent="0.3">
      <c r="A11" s="6">
        <v>1</v>
      </c>
      <c r="B11" s="5">
        <v>4</v>
      </c>
      <c r="C11" s="6">
        <v>7</v>
      </c>
      <c r="D11" s="6">
        <v>5</v>
      </c>
      <c r="E11" s="6">
        <v>5</v>
      </c>
      <c r="F11" s="6">
        <v>53</v>
      </c>
      <c r="G11" s="6">
        <v>42</v>
      </c>
      <c r="H11" s="6">
        <v>2</v>
      </c>
      <c r="I11" s="6">
        <v>0.53</v>
      </c>
      <c r="J11" s="6">
        <v>0</v>
      </c>
      <c r="K11" s="34">
        <f t="shared" si="0"/>
        <v>-61.53846153846154</v>
      </c>
    </row>
    <row r="12" spans="1:11" x14ac:dyDescent="0.3">
      <c r="A12" s="6">
        <v>1</v>
      </c>
      <c r="B12" s="5">
        <v>5</v>
      </c>
      <c r="C12" s="6">
        <v>2</v>
      </c>
      <c r="D12" s="6">
        <v>5.5</v>
      </c>
      <c r="E12" s="6">
        <v>5.5</v>
      </c>
      <c r="F12" s="6">
        <v>78</v>
      </c>
      <c r="G12" s="6">
        <v>22</v>
      </c>
      <c r="H12" s="6">
        <v>3</v>
      </c>
      <c r="I12" s="6">
        <v>0.6</v>
      </c>
      <c r="J12" s="6">
        <v>0</v>
      </c>
      <c r="K12" s="34">
        <f t="shared" si="0"/>
        <v>15.384615384615385</v>
      </c>
    </row>
    <row r="13" spans="1:11" x14ac:dyDescent="0.3">
      <c r="A13" s="6">
        <v>1</v>
      </c>
      <c r="B13" s="5">
        <v>6</v>
      </c>
      <c r="C13" s="6">
        <v>6</v>
      </c>
      <c r="D13" s="6">
        <v>4</v>
      </c>
      <c r="E13" s="6">
        <v>4</v>
      </c>
      <c r="F13" s="6">
        <v>10</v>
      </c>
      <c r="G13" s="6">
        <v>88</v>
      </c>
      <c r="H13" s="6">
        <v>4</v>
      </c>
      <c r="I13" s="6">
        <v>0.45</v>
      </c>
      <c r="J13" s="6">
        <v>0</v>
      </c>
      <c r="K13" s="34">
        <f t="shared" si="0"/>
        <v>-238.46153846153845</v>
      </c>
    </row>
    <row r="14" spans="1:11" x14ac:dyDescent="0.3">
      <c r="A14" s="6">
        <v>1</v>
      </c>
      <c r="B14" s="5">
        <v>7</v>
      </c>
      <c r="C14" s="6">
        <v>8</v>
      </c>
      <c r="D14" s="6">
        <v>4</v>
      </c>
      <c r="E14" s="6">
        <v>4</v>
      </c>
      <c r="F14" s="6">
        <v>5</v>
      </c>
      <c r="G14" s="6">
        <v>92</v>
      </c>
      <c r="H14" s="6">
        <v>0</v>
      </c>
      <c r="I14" s="6">
        <v>0.49</v>
      </c>
      <c r="J14" s="6">
        <v>0</v>
      </c>
      <c r="K14" s="34">
        <f t="shared" si="0"/>
        <v>-253.84615384615384</v>
      </c>
    </row>
    <row r="15" spans="1:11" x14ac:dyDescent="0.3">
      <c r="A15" s="6">
        <v>1</v>
      </c>
      <c r="B15" s="5">
        <v>8</v>
      </c>
      <c r="C15" s="6">
        <v>3</v>
      </c>
      <c r="D15" s="6">
        <v>5</v>
      </c>
      <c r="E15" s="6">
        <v>6</v>
      </c>
      <c r="F15" s="6">
        <v>72</v>
      </c>
      <c r="G15" s="6">
        <v>24</v>
      </c>
      <c r="H15" s="6">
        <v>7</v>
      </c>
      <c r="I15" s="6">
        <v>0.59</v>
      </c>
      <c r="J15" s="6">
        <v>0</v>
      </c>
      <c r="K15" s="34">
        <f t="shared" si="0"/>
        <v>7.6923076923076925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>
        <v>5</v>
      </c>
      <c r="E16" s="10">
        <v>5</v>
      </c>
      <c r="F16" s="10">
        <v>69</v>
      </c>
      <c r="G16" s="10">
        <v>26</v>
      </c>
      <c r="H16" s="10">
        <v>3</v>
      </c>
      <c r="I16" s="10">
        <v>0.53</v>
      </c>
      <c r="J16" s="10">
        <v>0</v>
      </c>
      <c r="K16" s="38">
        <f t="shared" si="0"/>
        <v>0</v>
      </c>
    </row>
    <row r="17" spans="1:11" x14ac:dyDescent="0.3">
      <c r="A17" s="5">
        <v>2</v>
      </c>
      <c r="B17" s="5">
        <v>10</v>
      </c>
      <c r="C17" s="5">
        <v>2</v>
      </c>
      <c r="D17" s="5">
        <v>5</v>
      </c>
      <c r="E17" s="5">
        <v>6</v>
      </c>
      <c r="F17" s="5">
        <v>79</v>
      </c>
      <c r="G17" s="5">
        <v>19</v>
      </c>
      <c r="H17" s="5">
        <v>0</v>
      </c>
      <c r="I17" s="5">
        <v>0.54</v>
      </c>
      <c r="J17" s="5">
        <v>0</v>
      </c>
      <c r="K17" s="36">
        <f>(($G$21-G17)/$G$21)*100</f>
        <v>72.058823529411768</v>
      </c>
    </row>
    <row r="18" spans="1:11" x14ac:dyDescent="0.3">
      <c r="A18" s="6">
        <v>2</v>
      </c>
      <c r="B18" s="5">
        <v>11</v>
      </c>
      <c r="C18" s="6">
        <v>9</v>
      </c>
      <c r="D18" s="6">
        <v>5.5</v>
      </c>
      <c r="E18" s="6">
        <v>6</v>
      </c>
      <c r="F18" s="6">
        <v>88</v>
      </c>
      <c r="G18" s="6">
        <v>10</v>
      </c>
      <c r="H18" s="6">
        <v>0</v>
      </c>
      <c r="I18" s="6">
        <v>0.67</v>
      </c>
      <c r="J18" s="6">
        <v>0</v>
      </c>
      <c r="K18" s="34">
        <f t="shared" ref="K18:K25" si="1">(($G$21-G18)/$G$21)*100</f>
        <v>85.294117647058826</v>
      </c>
    </row>
    <row r="19" spans="1:11" x14ac:dyDescent="0.3">
      <c r="A19" s="6">
        <v>2</v>
      </c>
      <c r="B19" s="5">
        <v>12</v>
      </c>
      <c r="C19" s="6">
        <v>8</v>
      </c>
      <c r="D19" s="6">
        <v>5</v>
      </c>
      <c r="E19" s="7">
        <v>5.5</v>
      </c>
      <c r="F19" s="6">
        <v>62</v>
      </c>
      <c r="G19" s="6">
        <v>35</v>
      </c>
      <c r="H19" s="6">
        <v>0</v>
      </c>
      <c r="I19" s="6">
        <v>0.59</v>
      </c>
      <c r="J19" s="6">
        <v>0</v>
      </c>
      <c r="K19" s="34">
        <f t="shared" si="1"/>
        <v>48.529411764705884</v>
      </c>
    </row>
    <row r="20" spans="1:11" x14ac:dyDescent="0.3">
      <c r="A20" s="6">
        <v>2</v>
      </c>
      <c r="B20" s="5">
        <v>13</v>
      </c>
      <c r="C20" s="6">
        <v>3</v>
      </c>
      <c r="D20" s="6">
        <v>5</v>
      </c>
      <c r="E20" s="6">
        <v>6</v>
      </c>
      <c r="F20" s="6">
        <v>60</v>
      </c>
      <c r="G20" s="6">
        <v>37</v>
      </c>
      <c r="H20" s="6">
        <v>0</v>
      </c>
      <c r="I20" s="6">
        <v>0.61</v>
      </c>
      <c r="J20" s="6">
        <v>0</v>
      </c>
      <c r="K20" s="34">
        <f t="shared" si="1"/>
        <v>45.588235294117645</v>
      </c>
    </row>
    <row r="21" spans="1:11" x14ac:dyDescent="0.3">
      <c r="A21" s="6">
        <v>2</v>
      </c>
      <c r="B21" s="5">
        <v>14</v>
      </c>
      <c r="C21" s="6">
        <v>1</v>
      </c>
      <c r="D21" s="6">
        <v>4</v>
      </c>
      <c r="E21" s="6">
        <v>5</v>
      </c>
      <c r="F21" s="6">
        <v>30</v>
      </c>
      <c r="G21" s="6">
        <v>68</v>
      </c>
      <c r="H21" s="6">
        <v>0</v>
      </c>
      <c r="I21" s="6">
        <v>0.6</v>
      </c>
      <c r="J21" s="6">
        <v>0</v>
      </c>
      <c r="K21" s="34">
        <f t="shared" si="1"/>
        <v>0</v>
      </c>
    </row>
    <row r="22" spans="1:11" x14ac:dyDescent="0.3">
      <c r="A22" s="6">
        <v>2</v>
      </c>
      <c r="B22" s="5">
        <v>15</v>
      </c>
      <c r="C22" s="6">
        <v>7</v>
      </c>
      <c r="D22" s="6">
        <v>4</v>
      </c>
      <c r="E22" s="6">
        <v>4.5</v>
      </c>
      <c r="F22" s="6">
        <v>20</v>
      </c>
      <c r="G22" s="6">
        <v>78</v>
      </c>
      <c r="H22" s="6">
        <v>2</v>
      </c>
      <c r="I22" s="6">
        <v>0.52</v>
      </c>
      <c r="J22" s="6">
        <v>0</v>
      </c>
      <c r="K22" s="34">
        <f t="shared" si="1"/>
        <v>-14.705882352941178</v>
      </c>
    </row>
    <row r="23" spans="1:11" x14ac:dyDescent="0.3">
      <c r="A23" s="6">
        <v>2</v>
      </c>
      <c r="B23" s="5">
        <v>16</v>
      </c>
      <c r="C23" s="6">
        <v>5</v>
      </c>
      <c r="D23" s="6">
        <v>4</v>
      </c>
      <c r="E23" s="6">
        <v>5</v>
      </c>
      <c r="F23" s="6">
        <v>18</v>
      </c>
      <c r="G23" s="6">
        <v>80</v>
      </c>
      <c r="H23" s="6">
        <v>8</v>
      </c>
      <c r="I23" s="6">
        <v>0.55000000000000004</v>
      </c>
      <c r="J23" s="6">
        <v>0</v>
      </c>
      <c r="K23" s="34">
        <f t="shared" si="1"/>
        <v>-17.647058823529413</v>
      </c>
    </row>
    <row r="24" spans="1:11" x14ac:dyDescent="0.3">
      <c r="A24" s="6">
        <v>2</v>
      </c>
      <c r="B24" s="5">
        <v>17</v>
      </c>
      <c r="C24" s="6">
        <v>4</v>
      </c>
      <c r="D24" s="6">
        <v>5</v>
      </c>
      <c r="E24" s="6">
        <v>5.5</v>
      </c>
      <c r="F24" s="6">
        <v>72</v>
      </c>
      <c r="G24" s="6">
        <v>26</v>
      </c>
      <c r="H24" s="6">
        <v>2</v>
      </c>
      <c r="I24" s="6">
        <v>0.68</v>
      </c>
      <c r="J24" s="6">
        <v>0</v>
      </c>
      <c r="K24" s="34">
        <f t="shared" si="1"/>
        <v>61.764705882352942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>
        <v>5</v>
      </c>
      <c r="E25" s="10">
        <v>5</v>
      </c>
      <c r="F25" s="10">
        <v>69</v>
      </c>
      <c r="G25" s="10">
        <v>28</v>
      </c>
      <c r="H25" s="10">
        <v>0</v>
      </c>
      <c r="I25" s="10">
        <v>0.53</v>
      </c>
      <c r="J25" s="10">
        <v>0</v>
      </c>
      <c r="K25" s="38">
        <f t="shared" si="1"/>
        <v>58.82352941176471</v>
      </c>
    </row>
    <row r="26" spans="1:11" x14ac:dyDescent="0.3">
      <c r="A26" s="5">
        <v>3</v>
      </c>
      <c r="B26" s="5">
        <v>19</v>
      </c>
      <c r="C26" s="5">
        <v>7</v>
      </c>
      <c r="D26" s="5">
        <v>5</v>
      </c>
      <c r="E26" s="5">
        <v>5</v>
      </c>
      <c r="F26" s="5">
        <v>78</v>
      </c>
      <c r="G26" s="5">
        <v>19</v>
      </c>
      <c r="H26" s="5">
        <v>3</v>
      </c>
      <c r="I26" s="5">
        <v>0.59</v>
      </c>
      <c r="J26" s="5">
        <v>0</v>
      </c>
      <c r="K26" s="36">
        <f>(($G$31-G26)/$G$31)*100</f>
        <v>73.972602739726028</v>
      </c>
    </row>
    <row r="27" spans="1:11" x14ac:dyDescent="0.3">
      <c r="A27" s="6">
        <v>3</v>
      </c>
      <c r="B27" s="5">
        <v>20</v>
      </c>
      <c r="C27" s="6">
        <v>3</v>
      </c>
      <c r="D27" s="6">
        <v>5</v>
      </c>
      <c r="E27" s="6">
        <v>5.5</v>
      </c>
      <c r="F27" s="6">
        <v>83</v>
      </c>
      <c r="G27" s="6">
        <v>14</v>
      </c>
      <c r="H27" s="6">
        <v>3</v>
      </c>
      <c r="I27" s="6">
        <v>0.59</v>
      </c>
      <c r="J27" s="6">
        <v>0</v>
      </c>
      <c r="K27" s="34">
        <f t="shared" ref="K27:K34" si="2">(($G$31-G27)/$G$31)*100</f>
        <v>80.821917808219183</v>
      </c>
    </row>
    <row r="28" spans="1:11" x14ac:dyDescent="0.3">
      <c r="A28" s="6">
        <v>3</v>
      </c>
      <c r="B28" s="5">
        <v>21</v>
      </c>
      <c r="C28" s="6">
        <v>9</v>
      </c>
      <c r="D28" s="6">
        <v>5</v>
      </c>
      <c r="E28" s="6">
        <v>5</v>
      </c>
      <c r="F28" s="6">
        <v>76</v>
      </c>
      <c r="G28" s="6">
        <v>22</v>
      </c>
      <c r="H28" s="6">
        <v>5</v>
      </c>
      <c r="I28" s="6">
        <v>0.64</v>
      </c>
      <c r="J28" s="6">
        <v>0</v>
      </c>
      <c r="K28" s="34">
        <f t="shared" si="2"/>
        <v>69.863013698630141</v>
      </c>
    </row>
    <row r="29" spans="1:11" x14ac:dyDescent="0.3">
      <c r="A29" s="6">
        <v>3</v>
      </c>
      <c r="B29" s="5">
        <v>22</v>
      </c>
      <c r="C29" s="6">
        <v>4</v>
      </c>
      <c r="D29" s="6">
        <v>5</v>
      </c>
      <c r="E29" s="6">
        <v>5.5</v>
      </c>
      <c r="F29" s="6">
        <v>60</v>
      </c>
      <c r="G29" s="6">
        <v>38</v>
      </c>
      <c r="H29" s="6">
        <v>0</v>
      </c>
      <c r="I29" s="6">
        <v>0.68</v>
      </c>
      <c r="J29" s="6">
        <v>0</v>
      </c>
      <c r="K29" s="34">
        <f t="shared" si="2"/>
        <v>47.945205479452049</v>
      </c>
    </row>
    <row r="30" spans="1:11" x14ac:dyDescent="0.3">
      <c r="A30" s="6">
        <v>3</v>
      </c>
      <c r="B30" s="5">
        <v>23</v>
      </c>
      <c r="C30" s="6">
        <v>8</v>
      </c>
      <c r="D30" s="6">
        <v>4.5</v>
      </c>
      <c r="E30" s="6">
        <v>4.5</v>
      </c>
      <c r="F30" s="6">
        <v>5</v>
      </c>
      <c r="G30" s="6">
        <v>92</v>
      </c>
      <c r="H30" s="6">
        <v>0</v>
      </c>
      <c r="I30" s="6">
        <v>0.53</v>
      </c>
      <c r="J30" s="6">
        <v>0</v>
      </c>
      <c r="K30" s="34">
        <f t="shared" si="2"/>
        <v>-26.027397260273972</v>
      </c>
    </row>
    <row r="31" spans="1:11" x14ac:dyDescent="0.3">
      <c r="A31" s="6">
        <v>3</v>
      </c>
      <c r="B31" s="5">
        <v>24</v>
      </c>
      <c r="C31" s="6">
        <v>1</v>
      </c>
      <c r="D31" s="6">
        <v>4.5</v>
      </c>
      <c r="E31" s="6">
        <v>4.5</v>
      </c>
      <c r="F31" s="6">
        <v>25</v>
      </c>
      <c r="G31" s="6">
        <v>73</v>
      </c>
      <c r="H31" s="6">
        <v>0</v>
      </c>
      <c r="I31" s="6">
        <v>0.56000000000000005</v>
      </c>
      <c r="J31" s="6">
        <v>0</v>
      </c>
      <c r="K31" s="34">
        <f t="shared" si="2"/>
        <v>0</v>
      </c>
    </row>
    <row r="32" spans="1:11" x14ac:dyDescent="0.3">
      <c r="A32" s="6">
        <v>3</v>
      </c>
      <c r="B32" s="5">
        <v>25</v>
      </c>
      <c r="C32" s="6">
        <v>6</v>
      </c>
      <c r="D32" s="6">
        <v>4</v>
      </c>
      <c r="E32" s="6">
        <v>4.5</v>
      </c>
      <c r="F32" s="6">
        <v>13</v>
      </c>
      <c r="G32" s="6">
        <v>86</v>
      </c>
      <c r="H32" s="6">
        <v>0</v>
      </c>
      <c r="I32" s="6">
        <v>0.47</v>
      </c>
      <c r="J32" s="6">
        <v>0</v>
      </c>
      <c r="K32" s="34">
        <f t="shared" si="2"/>
        <v>-17.80821917808219</v>
      </c>
    </row>
    <row r="33" spans="1:11" x14ac:dyDescent="0.3">
      <c r="A33" s="6">
        <v>3</v>
      </c>
      <c r="B33" s="5">
        <v>26</v>
      </c>
      <c r="C33" s="6">
        <v>2</v>
      </c>
      <c r="D33" s="6">
        <v>5</v>
      </c>
      <c r="E33" s="6">
        <v>5</v>
      </c>
      <c r="F33" s="6">
        <v>76</v>
      </c>
      <c r="G33" s="6">
        <v>22</v>
      </c>
      <c r="H33" s="6">
        <v>3</v>
      </c>
      <c r="I33" s="6">
        <v>0.56999999999999995</v>
      </c>
      <c r="J33" s="6">
        <v>0</v>
      </c>
      <c r="K33" s="34">
        <f t="shared" si="2"/>
        <v>69.863013698630141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>
        <v>4.5</v>
      </c>
      <c r="E34" s="10">
        <v>5</v>
      </c>
      <c r="F34" s="10">
        <v>70</v>
      </c>
      <c r="G34" s="10">
        <v>28</v>
      </c>
      <c r="H34" s="10">
        <v>0</v>
      </c>
      <c r="I34" s="10">
        <v>0.55000000000000004</v>
      </c>
      <c r="J34" s="10">
        <v>0</v>
      </c>
      <c r="K34" s="38">
        <f t="shared" si="2"/>
        <v>61.643835616438359</v>
      </c>
    </row>
    <row r="35" spans="1:11" x14ac:dyDescent="0.3">
      <c r="A35" s="5">
        <v>4</v>
      </c>
      <c r="B35" s="5">
        <v>28</v>
      </c>
      <c r="C35" s="9">
        <v>7</v>
      </c>
      <c r="D35" s="5">
        <v>4.5</v>
      </c>
      <c r="E35" s="5">
        <v>5</v>
      </c>
      <c r="F35" s="5">
        <v>77</v>
      </c>
      <c r="G35" s="5">
        <v>20</v>
      </c>
      <c r="H35" s="5">
        <v>2</v>
      </c>
      <c r="I35" s="5">
        <v>0.53</v>
      </c>
      <c r="J35" s="5">
        <v>0</v>
      </c>
      <c r="K35" s="36">
        <f>(($G$42-G35)/$G$42)*100</f>
        <v>66.101694915254242</v>
      </c>
    </row>
    <row r="36" spans="1:11" x14ac:dyDescent="0.3">
      <c r="A36" s="6">
        <v>4</v>
      </c>
      <c r="B36" s="5">
        <v>29</v>
      </c>
      <c r="C36" s="6">
        <v>3</v>
      </c>
      <c r="D36" s="6">
        <v>5</v>
      </c>
      <c r="E36" s="6">
        <v>5</v>
      </c>
      <c r="F36" s="6">
        <v>86</v>
      </c>
      <c r="G36" s="6">
        <v>12</v>
      </c>
      <c r="H36" s="6">
        <v>6</v>
      </c>
      <c r="I36" s="6">
        <v>0.66</v>
      </c>
      <c r="J36" s="6">
        <v>0</v>
      </c>
      <c r="K36" s="34">
        <f t="shared" ref="K36:K43" si="3">(($G$42-G36)/$G$42)*100</f>
        <v>79.66101694915254</v>
      </c>
    </row>
    <row r="37" spans="1:11" x14ac:dyDescent="0.3">
      <c r="A37" s="6">
        <v>4</v>
      </c>
      <c r="B37" s="5">
        <v>30</v>
      </c>
      <c r="C37" s="6">
        <v>4</v>
      </c>
      <c r="D37" s="6">
        <v>5</v>
      </c>
      <c r="E37" s="6">
        <v>6</v>
      </c>
      <c r="F37" s="6">
        <v>75</v>
      </c>
      <c r="G37" s="6">
        <v>22</v>
      </c>
      <c r="H37" s="6">
        <v>0</v>
      </c>
      <c r="I37" s="6">
        <v>0.72</v>
      </c>
      <c r="J37" s="6">
        <v>0</v>
      </c>
      <c r="K37" s="34">
        <f t="shared" si="3"/>
        <v>62.711864406779661</v>
      </c>
    </row>
    <row r="38" spans="1:11" x14ac:dyDescent="0.3">
      <c r="A38" s="6">
        <v>4</v>
      </c>
      <c r="B38" s="5">
        <v>31</v>
      </c>
      <c r="C38" s="6">
        <v>6</v>
      </c>
      <c r="D38" s="6">
        <v>4.5</v>
      </c>
      <c r="E38" s="6">
        <v>4.5</v>
      </c>
      <c r="F38" s="6">
        <v>58</v>
      </c>
      <c r="G38" s="6">
        <v>39</v>
      </c>
      <c r="H38" s="6">
        <v>3</v>
      </c>
      <c r="I38" s="6">
        <v>0.62</v>
      </c>
      <c r="J38" s="6">
        <v>0</v>
      </c>
      <c r="K38" s="34">
        <f t="shared" si="3"/>
        <v>33.898305084745758</v>
      </c>
    </row>
    <row r="39" spans="1:11" x14ac:dyDescent="0.3">
      <c r="A39" s="6">
        <v>4</v>
      </c>
      <c r="B39" s="5">
        <v>32</v>
      </c>
      <c r="C39" s="6">
        <v>5</v>
      </c>
      <c r="D39" s="6">
        <v>4</v>
      </c>
      <c r="E39" s="6">
        <v>4.5</v>
      </c>
      <c r="F39" s="6">
        <v>33</v>
      </c>
      <c r="G39" s="6">
        <v>64</v>
      </c>
      <c r="H39" s="6">
        <v>3</v>
      </c>
      <c r="I39" s="6">
        <v>0.54</v>
      </c>
      <c r="J39" s="6">
        <v>0</v>
      </c>
      <c r="K39" s="34">
        <f t="shared" si="3"/>
        <v>-8.4745762711864394</v>
      </c>
    </row>
    <row r="40" spans="1:11" x14ac:dyDescent="0.3">
      <c r="A40" s="6">
        <v>4</v>
      </c>
      <c r="B40" s="5">
        <v>33</v>
      </c>
      <c r="C40" s="6">
        <v>9</v>
      </c>
      <c r="D40" s="6">
        <v>4.5</v>
      </c>
      <c r="E40" s="6">
        <v>5</v>
      </c>
      <c r="F40" s="6">
        <v>68</v>
      </c>
      <c r="G40" s="6">
        <v>29</v>
      </c>
      <c r="H40" s="6">
        <v>5</v>
      </c>
      <c r="I40" s="6">
        <v>0.64</v>
      </c>
      <c r="J40" s="6">
        <v>0</v>
      </c>
      <c r="K40" s="34">
        <f t="shared" si="3"/>
        <v>50.847457627118644</v>
      </c>
    </row>
    <row r="41" spans="1:11" x14ac:dyDescent="0.3">
      <c r="A41" s="6">
        <v>4</v>
      </c>
      <c r="B41" s="5">
        <v>34</v>
      </c>
      <c r="C41" s="6">
        <v>2</v>
      </c>
      <c r="D41" s="6">
        <v>4.5</v>
      </c>
      <c r="E41" s="6">
        <v>5</v>
      </c>
      <c r="F41" s="6">
        <v>56</v>
      </c>
      <c r="G41" s="6">
        <v>42</v>
      </c>
      <c r="H41" s="6">
        <v>0</v>
      </c>
      <c r="I41" s="6">
        <v>0.5</v>
      </c>
      <c r="J41" s="6">
        <v>0</v>
      </c>
      <c r="K41" s="34">
        <f t="shared" si="3"/>
        <v>28.8135593220339</v>
      </c>
    </row>
    <row r="42" spans="1:11" x14ac:dyDescent="0.3">
      <c r="A42" s="6">
        <v>4</v>
      </c>
      <c r="B42" s="5">
        <v>35</v>
      </c>
      <c r="C42" s="6">
        <v>1</v>
      </c>
      <c r="D42" s="6">
        <v>4</v>
      </c>
      <c r="E42" s="6">
        <v>4.5</v>
      </c>
      <c r="F42" s="6">
        <v>37</v>
      </c>
      <c r="G42" s="6">
        <v>59</v>
      </c>
      <c r="H42" s="6">
        <v>0</v>
      </c>
      <c r="I42" s="6">
        <v>0.51</v>
      </c>
      <c r="J42" s="6">
        <v>0</v>
      </c>
      <c r="K42" s="34">
        <f t="shared" si="3"/>
        <v>0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>
        <v>5</v>
      </c>
      <c r="E43" s="11">
        <v>5</v>
      </c>
      <c r="F43" s="11">
        <v>83</v>
      </c>
      <c r="G43" s="11">
        <v>16</v>
      </c>
      <c r="H43" s="11">
        <v>3</v>
      </c>
      <c r="I43" s="11">
        <v>0.56000000000000005</v>
      </c>
      <c r="J43" s="12">
        <v>0</v>
      </c>
      <c r="K43" s="38">
        <f t="shared" si="3"/>
        <v>72.881355932203391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3"/>
  <sheetViews>
    <sheetView workbookViewId="0">
      <selection activeCell="K7" sqref="K7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30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  <c r="B5" t="s">
        <v>17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/>
      <c r="E8" s="6"/>
      <c r="F8" s="6"/>
      <c r="G8" s="6">
        <v>8</v>
      </c>
      <c r="H8" s="6"/>
      <c r="I8" s="6"/>
      <c r="J8" s="6">
        <v>0</v>
      </c>
      <c r="K8" s="36">
        <f>(($G$16-G8)/$G$16)*100</f>
        <v>70.370370370370367</v>
      </c>
    </row>
    <row r="9" spans="1:11" x14ac:dyDescent="0.3">
      <c r="A9" s="6">
        <v>1</v>
      </c>
      <c r="B9" s="5">
        <v>2</v>
      </c>
      <c r="C9" s="6">
        <v>5</v>
      </c>
      <c r="D9" s="6"/>
      <c r="E9" s="6"/>
      <c r="F9" s="6"/>
      <c r="G9" s="6">
        <v>34</v>
      </c>
      <c r="H9" s="6"/>
      <c r="I9" s="6"/>
      <c r="J9" s="6">
        <v>0</v>
      </c>
      <c r="K9" s="34">
        <f t="shared" ref="K9:K16" si="0">(($G$16-G9)/$G$16)*100</f>
        <v>-25.925925925925924</v>
      </c>
    </row>
    <row r="10" spans="1:11" x14ac:dyDescent="0.3">
      <c r="A10" s="6">
        <v>1</v>
      </c>
      <c r="B10" s="5">
        <v>3</v>
      </c>
      <c r="C10" s="6">
        <v>4</v>
      </c>
      <c r="D10" s="6"/>
      <c r="E10" s="6"/>
      <c r="F10" s="6"/>
      <c r="G10" s="6">
        <v>30</v>
      </c>
      <c r="H10" s="6"/>
      <c r="I10" s="6"/>
      <c r="J10" s="6">
        <v>0</v>
      </c>
      <c r="K10" s="34">
        <f t="shared" si="0"/>
        <v>-11.111111111111111</v>
      </c>
    </row>
    <row r="11" spans="1:11" x14ac:dyDescent="0.3">
      <c r="A11" s="6">
        <v>1</v>
      </c>
      <c r="B11" s="5">
        <v>4</v>
      </c>
      <c r="C11" s="6">
        <v>7</v>
      </c>
      <c r="D11" s="6"/>
      <c r="E11" s="6"/>
      <c r="F11" s="6"/>
      <c r="G11" s="6">
        <v>45</v>
      </c>
      <c r="H11" s="6"/>
      <c r="I11" s="6"/>
      <c r="J11" s="6">
        <v>0</v>
      </c>
      <c r="K11" s="34">
        <f t="shared" si="0"/>
        <v>-66.666666666666657</v>
      </c>
    </row>
    <row r="12" spans="1:11" x14ac:dyDescent="0.3">
      <c r="A12" s="6">
        <v>1</v>
      </c>
      <c r="B12" s="5">
        <v>5</v>
      </c>
      <c r="C12" s="6">
        <v>2</v>
      </c>
      <c r="D12" s="6"/>
      <c r="E12" s="6"/>
      <c r="F12" s="6"/>
      <c r="G12" s="6">
        <v>28</v>
      </c>
      <c r="H12" s="6"/>
      <c r="I12" s="6"/>
      <c r="J12" s="6">
        <v>0</v>
      </c>
      <c r="K12" s="34">
        <f t="shared" si="0"/>
        <v>-3.7037037037037033</v>
      </c>
    </row>
    <row r="13" spans="1:11" x14ac:dyDescent="0.3">
      <c r="A13" s="6">
        <v>1</v>
      </c>
      <c r="B13" s="5">
        <v>6</v>
      </c>
      <c r="C13" s="6">
        <v>6</v>
      </c>
      <c r="D13" s="6"/>
      <c r="E13" s="6"/>
      <c r="F13" s="6"/>
      <c r="G13" s="6">
        <v>89</v>
      </c>
      <c r="H13" s="6"/>
      <c r="I13" s="6"/>
      <c r="J13" s="6">
        <v>0</v>
      </c>
      <c r="K13" s="34">
        <f t="shared" si="0"/>
        <v>-229.62962962962962</v>
      </c>
    </row>
    <row r="14" spans="1:11" x14ac:dyDescent="0.3">
      <c r="A14" s="6">
        <v>1</v>
      </c>
      <c r="B14" s="5">
        <v>7</v>
      </c>
      <c r="C14" s="6">
        <v>8</v>
      </c>
      <c r="D14" s="6"/>
      <c r="E14" s="6"/>
      <c r="F14" s="6"/>
      <c r="G14" s="6">
        <v>93</v>
      </c>
      <c r="H14" s="6"/>
      <c r="I14" s="6"/>
      <c r="J14" s="6">
        <v>0</v>
      </c>
      <c r="K14" s="34">
        <f t="shared" si="0"/>
        <v>-244.44444444444446</v>
      </c>
    </row>
    <row r="15" spans="1:11" x14ac:dyDescent="0.3">
      <c r="A15" s="6">
        <v>1</v>
      </c>
      <c r="B15" s="5">
        <v>8</v>
      </c>
      <c r="C15" s="6">
        <v>3</v>
      </c>
      <c r="D15" s="6"/>
      <c r="E15" s="6"/>
      <c r="F15" s="6"/>
      <c r="G15" s="6">
        <v>30</v>
      </c>
      <c r="H15" s="6"/>
      <c r="I15" s="6"/>
      <c r="J15" s="6">
        <v>0</v>
      </c>
      <c r="K15" s="34">
        <f t="shared" si="0"/>
        <v>-11.111111111111111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/>
      <c r="E16" s="10"/>
      <c r="F16" s="10"/>
      <c r="G16" s="10">
        <v>27</v>
      </c>
      <c r="H16" s="10"/>
      <c r="I16" s="10"/>
      <c r="J16" s="10">
        <v>0</v>
      </c>
      <c r="K16" s="38">
        <f t="shared" si="0"/>
        <v>0</v>
      </c>
    </row>
    <row r="17" spans="1:11" x14ac:dyDescent="0.3">
      <c r="A17" s="5">
        <v>2</v>
      </c>
      <c r="B17" s="5">
        <v>10</v>
      </c>
      <c r="C17" s="5">
        <v>2</v>
      </c>
      <c r="D17" s="5"/>
      <c r="E17" s="5"/>
      <c r="F17" s="5"/>
      <c r="G17" s="5">
        <v>20</v>
      </c>
      <c r="H17" s="5"/>
      <c r="I17" s="5"/>
      <c r="J17" s="5">
        <v>0</v>
      </c>
      <c r="K17" s="36">
        <f>(($G$21-G17)/$G$21)*100</f>
        <v>74.358974358974365</v>
      </c>
    </row>
    <row r="18" spans="1:11" x14ac:dyDescent="0.3">
      <c r="A18" s="6">
        <v>2</v>
      </c>
      <c r="B18" s="5">
        <v>11</v>
      </c>
      <c r="C18" s="6">
        <v>9</v>
      </c>
      <c r="D18" s="6"/>
      <c r="E18" s="6"/>
      <c r="F18" s="6"/>
      <c r="G18" s="6">
        <v>8</v>
      </c>
      <c r="H18" s="6"/>
      <c r="I18" s="6"/>
      <c r="J18" s="6">
        <v>0</v>
      </c>
      <c r="K18" s="34">
        <f t="shared" ref="K18:K25" si="1">(($G$21-G18)/$G$21)*100</f>
        <v>89.743589743589752</v>
      </c>
    </row>
    <row r="19" spans="1:11" x14ac:dyDescent="0.3">
      <c r="A19" s="6">
        <v>2</v>
      </c>
      <c r="B19" s="5">
        <v>12</v>
      </c>
      <c r="C19" s="6">
        <v>8</v>
      </c>
      <c r="D19" s="6"/>
      <c r="E19" s="7"/>
      <c r="F19" s="6"/>
      <c r="G19" s="6">
        <v>31</v>
      </c>
      <c r="H19" s="6"/>
      <c r="I19" s="6"/>
      <c r="J19" s="6">
        <v>0</v>
      </c>
      <c r="K19" s="34">
        <f t="shared" si="1"/>
        <v>60.256410256410255</v>
      </c>
    </row>
    <row r="20" spans="1:11" x14ac:dyDescent="0.3">
      <c r="A20" s="6">
        <v>2</v>
      </c>
      <c r="B20" s="5">
        <v>13</v>
      </c>
      <c r="C20" s="6">
        <v>3</v>
      </c>
      <c r="D20" s="6"/>
      <c r="E20" s="6"/>
      <c r="F20" s="6"/>
      <c r="G20" s="6">
        <v>38</v>
      </c>
      <c r="H20" s="6"/>
      <c r="I20" s="6"/>
      <c r="J20" s="6">
        <v>0</v>
      </c>
      <c r="K20" s="34">
        <f t="shared" si="1"/>
        <v>51.282051282051277</v>
      </c>
    </row>
    <row r="21" spans="1:11" x14ac:dyDescent="0.3">
      <c r="A21" s="6">
        <v>2</v>
      </c>
      <c r="B21" s="5">
        <v>14</v>
      </c>
      <c r="C21" s="6">
        <v>1</v>
      </c>
      <c r="D21" s="6"/>
      <c r="E21" s="6"/>
      <c r="F21" s="6"/>
      <c r="G21" s="6">
        <v>78</v>
      </c>
      <c r="H21" s="6"/>
      <c r="I21" s="6"/>
      <c r="J21" s="6">
        <v>0</v>
      </c>
      <c r="K21" s="34">
        <f t="shared" si="1"/>
        <v>0</v>
      </c>
    </row>
    <row r="22" spans="1:11" x14ac:dyDescent="0.3">
      <c r="A22" s="6">
        <v>2</v>
      </c>
      <c r="B22" s="5">
        <v>15</v>
      </c>
      <c r="C22" s="6">
        <v>7</v>
      </c>
      <c r="D22" s="6"/>
      <c r="E22" s="6"/>
      <c r="F22" s="6"/>
      <c r="G22" s="6">
        <v>74</v>
      </c>
      <c r="H22" s="6"/>
      <c r="I22" s="6"/>
      <c r="J22" s="6">
        <v>0</v>
      </c>
      <c r="K22" s="34">
        <f t="shared" si="1"/>
        <v>5.1282051282051277</v>
      </c>
    </row>
    <row r="23" spans="1:11" x14ac:dyDescent="0.3">
      <c r="A23" s="6">
        <v>2</v>
      </c>
      <c r="B23" s="5">
        <v>16</v>
      </c>
      <c r="C23" s="6">
        <v>5</v>
      </c>
      <c r="D23" s="6"/>
      <c r="E23" s="6"/>
      <c r="F23" s="6"/>
      <c r="G23" s="6">
        <v>76</v>
      </c>
      <c r="H23" s="6"/>
      <c r="I23" s="6"/>
      <c r="J23" s="6">
        <v>0</v>
      </c>
      <c r="K23" s="34">
        <f t="shared" si="1"/>
        <v>2.5641025641025639</v>
      </c>
    </row>
    <row r="24" spans="1:11" x14ac:dyDescent="0.3">
      <c r="A24" s="6">
        <v>2</v>
      </c>
      <c r="B24" s="5">
        <v>17</v>
      </c>
      <c r="C24" s="6">
        <v>4</v>
      </c>
      <c r="D24" s="6"/>
      <c r="E24" s="6"/>
      <c r="F24" s="6"/>
      <c r="G24" s="6">
        <v>31</v>
      </c>
      <c r="H24" s="6"/>
      <c r="I24" s="6"/>
      <c r="J24" s="6">
        <v>0</v>
      </c>
      <c r="K24" s="34">
        <f t="shared" si="1"/>
        <v>60.256410256410255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/>
      <c r="E25" s="10"/>
      <c r="F25" s="10"/>
      <c r="G25" s="10">
        <v>29</v>
      </c>
      <c r="H25" s="10"/>
      <c r="I25" s="10"/>
      <c r="J25" s="10">
        <v>0</v>
      </c>
      <c r="K25" s="38">
        <f t="shared" si="1"/>
        <v>62.820512820512818</v>
      </c>
    </row>
    <row r="26" spans="1:11" x14ac:dyDescent="0.3">
      <c r="A26" s="5">
        <v>3</v>
      </c>
      <c r="B26" s="5">
        <v>19</v>
      </c>
      <c r="C26" s="5">
        <v>7</v>
      </c>
      <c r="D26" s="5"/>
      <c r="E26" s="5"/>
      <c r="F26" s="5"/>
      <c r="G26" s="5">
        <v>19</v>
      </c>
      <c r="H26" s="5"/>
      <c r="I26" s="5"/>
      <c r="J26" s="5">
        <v>0</v>
      </c>
      <c r="K26" s="36">
        <f>(($G$31-G26)/$G$31)*100</f>
        <v>74.666666666666671</v>
      </c>
    </row>
    <row r="27" spans="1:11" x14ac:dyDescent="0.3">
      <c r="A27" s="6">
        <v>3</v>
      </c>
      <c r="B27" s="5">
        <v>20</v>
      </c>
      <c r="C27" s="6">
        <v>3</v>
      </c>
      <c r="D27" s="6"/>
      <c r="E27" s="6"/>
      <c r="F27" s="6"/>
      <c r="G27" s="6">
        <v>13</v>
      </c>
      <c r="H27" s="6"/>
      <c r="I27" s="6"/>
      <c r="J27" s="6">
        <v>0</v>
      </c>
      <c r="K27" s="34">
        <f t="shared" ref="K27:K34" si="2">(($G$31-G27)/$G$31)*100</f>
        <v>82.666666666666671</v>
      </c>
    </row>
    <row r="28" spans="1:11" x14ac:dyDescent="0.3">
      <c r="A28" s="6">
        <v>3</v>
      </c>
      <c r="B28" s="5">
        <v>21</v>
      </c>
      <c r="C28" s="6">
        <v>9</v>
      </c>
      <c r="D28" s="6"/>
      <c r="E28" s="6"/>
      <c r="F28" s="6"/>
      <c r="G28" s="6">
        <v>22</v>
      </c>
      <c r="H28" s="6"/>
      <c r="I28" s="6"/>
      <c r="J28" s="6">
        <v>0</v>
      </c>
      <c r="K28" s="34">
        <f t="shared" si="2"/>
        <v>70.666666666666671</v>
      </c>
    </row>
    <row r="29" spans="1:11" x14ac:dyDescent="0.3">
      <c r="A29" s="6">
        <v>3</v>
      </c>
      <c r="B29" s="5">
        <v>22</v>
      </c>
      <c r="C29" s="6">
        <v>4</v>
      </c>
      <c r="D29" s="6"/>
      <c r="E29" s="6"/>
      <c r="F29" s="6"/>
      <c r="G29" s="6">
        <v>49</v>
      </c>
      <c r="H29" s="6"/>
      <c r="I29" s="6"/>
      <c r="J29" s="6">
        <v>0</v>
      </c>
      <c r="K29" s="34">
        <f t="shared" si="2"/>
        <v>34.666666666666671</v>
      </c>
    </row>
    <row r="30" spans="1:11" x14ac:dyDescent="0.3">
      <c r="A30" s="6">
        <v>3</v>
      </c>
      <c r="B30" s="5">
        <v>23</v>
      </c>
      <c r="C30" s="6">
        <v>8</v>
      </c>
      <c r="D30" s="6"/>
      <c r="E30" s="6"/>
      <c r="F30" s="6"/>
      <c r="G30" s="6">
        <v>91</v>
      </c>
      <c r="H30" s="6"/>
      <c r="I30" s="6"/>
      <c r="J30" s="6">
        <v>0</v>
      </c>
      <c r="K30" s="34">
        <f t="shared" si="2"/>
        <v>-21.333333333333336</v>
      </c>
    </row>
    <row r="31" spans="1:11" x14ac:dyDescent="0.3">
      <c r="A31" s="6">
        <v>3</v>
      </c>
      <c r="B31" s="5">
        <v>24</v>
      </c>
      <c r="C31" s="6">
        <v>1</v>
      </c>
      <c r="D31" s="6"/>
      <c r="E31" s="6"/>
      <c r="F31" s="6"/>
      <c r="G31" s="6">
        <v>75</v>
      </c>
      <c r="H31" s="6"/>
      <c r="I31" s="6"/>
      <c r="J31" s="6">
        <v>0</v>
      </c>
      <c r="K31" s="34">
        <f t="shared" si="2"/>
        <v>0</v>
      </c>
    </row>
    <row r="32" spans="1:11" x14ac:dyDescent="0.3">
      <c r="A32" s="6">
        <v>3</v>
      </c>
      <c r="B32" s="5">
        <v>25</v>
      </c>
      <c r="C32" s="6">
        <v>6</v>
      </c>
      <c r="D32" s="6"/>
      <c r="E32" s="6"/>
      <c r="F32" s="6"/>
      <c r="G32" s="6">
        <v>84</v>
      </c>
      <c r="H32" s="6"/>
      <c r="I32" s="6"/>
      <c r="J32" s="6">
        <v>0</v>
      </c>
      <c r="K32" s="34">
        <f t="shared" si="2"/>
        <v>-12</v>
      </c>
    </row>
    <row r="33" spans="1:11" x14ac:dyDescent="0.3">
      <c r="A33" s="6">
        <v>3</v>
      </c>
      <c r="B33" s="5">
        <v>26</v>
      </c>
      <c r="C33" s="6">
        <v>2</v>
      </c>
      <c r="D33" s="6"/>
      <c r="E33" s="6"/>
      <c r="F33" s="6"/>
      <c r="G33" s="6">
        <v>25</v>
      </c>
      <c r="H33" s="6"/>
      <c r="I33" s="6"/>
      <c r="J33" s="6">
        <v>0</v>
      </c>
      <c r="K33" s="34">
        <f t="shared" si="2"/>
        <v>66.666666666666657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/>
      <c r="E34" s="10"/>
      <c r="F34" s="10"/>
      <c r="G34" s="10">
        <v>29</v>
      </c>
      <c r="H34" s="10"/>
      <c r="I34" s="10"/>
      <c r="J34" s="10">
        <v>0</v>
      </c>
      <c r="K34" s="38">
        <f t="shared" si="2"/>
        <v>61.333333333333329</v>
      </c>
    </row>
    <row r="35" spans="1:11" x14ac:dyDescent="0.3">
      <c r="A35" s="5">
        <v>4</v>
      </c>
      <c r="B35" s="5">
        <v>28</v>
      </c>
      <c r="C35" s="9">
        <v>7</v>
      </c>
      <c r="D35" s="5"/>
      <c r="E35" s="5"/>
      <c r="F35" s="5"/>
      <c r="G35" s="5">
        <v>23</v>
      </c>
      <c r="H35" s="5"/>
      <c r="I35" s="5"/>
      <c r="J35" s="5">
        <v>0</v>
      </c>
      <c r="K35" s="36">
        <f>(($G$42-G35)/$G$42)*100</f>
        <v>58.18181818181818</v>
      </c>
    </row>
    <row r="36" spans="1:11" x14ac:dyDescent="0.3">
      <c r="A36" s="6">
        <v>4</v>
      </c>
      <c r="B36" s="5">
        <v>29</v>
      </c>
      <c r="C36" s="6">
        <v>3</v>
      </c>
      <c r="D36" s="6"/>
      <c r="E36" s="6"/>
      <c r="F36" s="6"/>
      <c r="G36" s="6">
        <v>18</v>
      </c>
      <c r="H36" s="6"/>
      <c r="I36" s="6"/>
      <c r="J36" s="6">
        <v>0</v>
      </c>
      <c r="K36" s="34">
        <f t="shared" ref="K36:K43" si="3">(($G$42-G36)/$G$42)*100</f>
        <v>67.272727272727266</v>
      </c>
    </row>
    <row r="37" spans="1:11" x14ac:dyDescent="0.3">
      <c r="A37" s="6">
        <v>4</v>
      </c>
      <c r="B37" s="5">
        <v>30</v>
      </c>
      <c r="C37" s="6">
        <v>4</v>
      </c>
      <c r="D37" s="6"/>
      <c r="E37" s="6"/>
      <c r="F37" s="6"/>
      <c r="G37" s="6">
        <v>33</v>
      </c>
      <c r="H37" s="6"/>
      <c r="I37" s="6"/>
      <c r="J37" s="6">
        <v>0</v>
      </c>
      <c r="K37" s="34">
        <f t="shared" si="3"/>
        <v>40</v>
      </c>
    </row>
    <row r="38" spans="1:11" x14ac:dyDescent="0.3">
      <c r="A38" s="6">
        <v>4</v>
      </c>
      <c r="B38" s="5">
        <v>31</v>
      </c>
      <c r="C38" s="6">
        <v>6</v>
      </c>
      <c r="D38" s="6"/>
      <c r="E38" s="6"/>
      <c r="F38" s="6"/>
      <c r="G38" s="6">
        <v>44</v>
      </c>
      <c r="H38" s="6"/>
      <c r="I38" s="6"/>
      <c r="J38" s="6">
        <v>0</v>
      </c>
      <c r="K38" s="34">
        <f t="shared" si="3"/>
        <v>20</v>
      </c>
    </row>
    <row r="39" spans="1:11" x14ac:dyDescent="0.3">
      <c r="A39" s="6">
        <v>4</v>
      </c>
      <c r="B39" s="5">
        <v>32</v>
      </c>
      <c r="C39" s="6">
        <v>5</v>
      </c>
      <c r="D39" s="6"/>
      <c r="E39" s="6"/>
      <c r="F39" s="6"/>
      <c r="G39" s="6">
        <v>60</v>
      </c>
      <c r="H39" s="6"/>
      <c r="I39" s="6"/>
      <c r="J39" s="6">
        <v>0</v>
      </c>
      <c r="K39" s="34">
        <f t="shared" si="3"/>
        <v>-9.0909090909090917</v>
      </c>
    </row>
    <row r="40" spans="1:11" x14ac:dyDescent="0.3">
      <c r="A40" s="6">
        <v>4</v>
      </c>
      <c r="B40" s="5">
        <v>33</v>
      </c>
      <c r="C40" s="6">
        <v>9</v>
      </c>
      <c r="D40" s="6"/>
      <c r="E40" s="6"/>
      <c r="F40" s="6"/>
      <c r="G40" s="6">
        <v>22</v>
      </c>
      <c r="H40" s="6"/>
      <c r="I40" s="6"/>
      <c r="J40" s="6">
        <v>0</v>
      </c>
      <c r="K40" s="34">
        <f t="shared" si="3"/>
        <v>60</v>
      </c>
    </row>
    <row r="41" spans="1:11" x14ac:dyDescent="0.3">
      <c r="A41" s="6">
        <v>4</v>
      </c>
      <c r="B41" s="5">
        <v>34</v>
      </c>
      <c r="C41" s="6">
        <v>2</v>
      </c>
      <c r="D41" s="6"/>
      <c r="E41" s="6"/>
      <c r="F41" s="6"/>
      <c r="G41" s="6">
        <v>27</v>
      </c>
      <c r="H41" s="6"/>
      <c r="I41" s="6"/>
      <c r="J41" s="6">
        <v>0</v>
      </c>
      <c r="K41" s="34">
        <f t="shared" si="3"/>
        <v>50.909090909090907</v>
      </c>
    </row>
    <row r="42" spans="1:11" x14ac:dyDescent="0.3">
      <c r="A42" s="6">
        <v>4</v>
      </c>
      <c r="B42" s="5">
        <v>35</v>
      </c>
      <c r="C42" s="6">
        <v>1</v>
      </c>
      <c r="D42" s="6"/>
      <c r="E42" s="6"/>
      <c r="F42" s="6"/>
      <c r="G42" s="6">
        <v>55</v>
      </c>
      <c r="H42" s="6"/>
      <c r="I42" s="6"/>
      <c r="J42" s="6">
        <v>0</v>
      </c>
      <c r="K42" s="34">
        <f t="shared" si="3"/>
        <v>0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/>
      <c r="E43" s="11"/>
      <c r="F43" s="11"/>
      <c r="G43" s="11">
        <v>14</v>
      </c>
      <c r="H43" s="11"/>
      <c r="I43" s="11"/>
      <c r="J43" s="12">
        <v>0</v>
      </c>
      <c r="K43" s="38">
        <f t="shared" si="3"/>
        <v>74.545454545454547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3"/>
  <sheetViews>
    <sheetView workbookViewId="0">
      <selection activeCell="H18" sqref="H18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31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  <c r="B5" t="s">
        <v>17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>
        <v>5</v>
      </c>
      <c r="E8" s="6">
        <v>5.5</v>
      </c>
      <c r="F8" s="6">
        <v>86</v>
      </c>
      <c r="G8" s="6">
        <v>4</v>
      </c>
      <c r="H8" s="6">
        <v>3</v>
      </c>
      <c r="I8" s="6">
        <v>0.61</v>
      </c>
      <c r="J8" s="6">
        <v>0</v>
      </c>
      <c r="K8" s="36">
        <f>(($G$16-G8)/$G$16)*100</f>
        <v>90.476190476190482</v>
      </c>
    </row>
    <row r="9" spans="1:11" x14ac:dyDescent="0.3">
      <c r="A9" s="6">
        <v>1</v>
      </c>
      <c r="B9" s="5">
        <v>2</v>
      </c>
      <c r="C9" s="6">
        <v>5</v>
      </c>
      <c r="D9" s="6">
        <v>4.5</v>
      </c>
      <c r="E9" s="6">
        <v>4</v>
      </c>
      <c r="F9" s="6">
        <v>50</v>
      </c>
      <c r="G9" s="6">
        <v>46</v>
      </c>
      <c r="H9" s="6">
        <v>4</v>
      </c>
      <c r="I9" s="9">
        <v>0.5</v>
      </c>
      <c r="J9" s="6">
        <v>0</v>
      </c>
      <c r="K9" s="34">
        <f t="shared" ref="K9:K16" si="0">(($G$16-G9)/$G$16)*100</f>
        <v>-9.5238095238095237</v>
      </c>
    </row>
    <row r="10" spans="1:11" x14ac:dyDescent="0.3">
      <c r="A10" s="6">
        <v>1</v>
      </c>
      <c r="B10" s="5">
        <v>3</v>
      </c>
      <c r="C10" s="6">
        <v>4</v>
      </c>
      <c r="D10" s="6">
        <v>5.5</v>
      </c>
      <c r="E10" s="6">
        <v>6</v>
      </c>
      <c r="F10" s="6">
        <v>45</v>
      </c>
      <c r="G10" s="6">
        <v>52</v>
      </c>
      <c r="H10" s="6">
        <v>3</v>
      </c>
      <c r="I10" s="6">
        <v>0.62</v>
      </c>
      <c r="J10" s="6">
        <v>0</v>
      </c>
      <c r="K10" s="34">
        <f t="shared" si="0"/>
        <v>-23.809523809523807</v>
      </c>
    </row>
    <row r="11" spans="1:11" x14ac:dyDescent="0.3">
      <c r="A11" s="6">
        <v>1</v>
      </c>
      <c r="B11" s="5">
        <v>4</v>
      </c>
      <c r="C11" s="6">
        <v>7</v>
      </c>
      <c r="D11" s="6">
        <v>3.5</v>
      </c>
      <c r="E11" s="6">
        <v>4</v>
      </c>
      <c r="F11" s="6">
        <v>37</v>
      </c>
      <c r="G11" s="6">
        <v>66</v>
      </c>
      <c r="H11" s="6">
        <v>3</v>
      </c>
      <c r="I11" s="6">
        <v>0.46</v>
      </c>
      <c r="J11" s="6">
        <v>0</v>
      </c>
      <c r="K11" s="34">
        <f t="shared" si="0"/>
        <v>-57.142857142857139</v>
      </c>
    </row>
    <row r="12" spans="1:11" x14ac:dyDescent="0.3">
      <c r="A12" s="6">
        <v>1</v>
      </c>
      <c r="B12" s="5">
        <v>5</v>
      </c>
      <c r="C12" s="6">
        <v>2</v>
      </c>
      <c r="D12" s="6">
        <v>5</v>
      </c>
      <c r="E12" s="6">
        <v>5.5</v>
      </c>
      <c r="F12" s="6">
        <v>57</v>
      </c>
      <c r="G12" s="6">
        <v>41</v>
      </c>
      <c r="H12" s="6">
        <v>2</v>
      </c>
      <c r="I12" s="6">
        <v>0.56999999999999995</v>
      </c>
      <c r="J12" s="6">
        <v>0</v>
      </c>
      <c r="K12" s="34">
        <f t="shared" si="0"/>
        <v>2.3809523809523809</v>
      </c>
    </row>
    <row r="13" spans="1:11" x14ac:dyDescent="0.3">
      <c r="A13" s="6">
        <v>1</v>
      </c>
      <c r="B13" s="5">
        <v>6</v>
      </c>
      <c r="C13" s="6">
        <v>6</v>
      </c>
      <c r="D13" s="6">
        <v>2.5</v>
      </c>
      <c r="E13" s="6">
        <v>3</v>
      </c>
      <c r="F13" s="6">
        <v>7</v>
      </c>
      <c r="G13" s="6">
        <v>90</v>
      </c>
      <c r="H13" s="6">
        <v>0</v>
      </c>
      <c r="I13" s="6">
        <v>0.43</v>
      </c>
      <c r="J13" s="6">
        <v>0</v>
      </c>
      <c r="K13" s="34">
        <f t="shared" si="0"/>
        <v>-114.28571428571428</v>
      </c>
    </row>
    <row r="14" spans="1:11" x14ac:dyDescent="0.3">
      <c r="A14" s="6">
        <v>1</v>
      </c>
      <c r="B14" s="5">
        <v>7</v>
      </c>
      <c r="C14" s="6">
        <v>8</v>
      </c>
      <c r="D14" s="6">
        <v>2.5</v>
      </c>
      <c r="E14" s="6">
        <v>3</v>
      </c>
      <c r="F14" s="6">
        <v>5</v>
      </c>
      <c r="G14" s="6">
        <v>92</v>
      </c>
      <c r="H14" s="6">
        <v>0</v>
      </c>
      <c r="I14" s="6">
        <v>0.45</v>
      </c>
      <c r="J14" s="6">
        <v>0</v>
      </c>
      <c r="K14" s="34">
        <f t="shared" si="0"/>
        <v>-119.04761904761905</v>
      </c>
    </row>
    <row r="15" spans="1:11" x14ac:dyDescent="0.3">
      <c r="A15" s="6">
        <v>1</v>
      </c>
      <c r="B15" s="5">
        <v>8</v>
      </c>
      <c r="C15" s="6">
        <v>3</v>
      </c>
      <c r="D15" s="6">
        <v>4</v>
      </c>
      <c r="E15" s="6">
        <v>5.5</v>
      </c>
      <c r="F15" s="6">
        <v>39</v>
      </c>
      <c r="G15" s="6">
        <v>58</v>
      </c>
      <c r="H15" s="6">
        <v>2</v>
      </c>
      <c r="I15" s="6">
        <v>0.48</v>
      </c>
      <c r="J15" s="6">
        <v>0</v>
      </c>
      <c r="K15" s="34">
        <f t="shared" si="0"/>
        <v>-38.095238095238095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>
        <v>4</v>
      </c>
      <c r="E16" s="10">
        <v>4</v>
      </c>
      <c r="F16" s="10">
        <v>58</v>
      </c>
      <c r="G16" s="10">
        <v>42</v>
      </c>
      <c r="H16" s="10">
        <v>0</v>
      </c>
      <c r="I16" s="10">
        <v>0.48</v>
      </c>
      <c r="J16" s="10">
        <v>0</v>
      </c>
      <c r="K16" s="38">
        <f t="shared" si="0"/>
        <v>0</v>
      </c>
    </row>
    <row r="17" spans="1:11" x14ac:dyDescent="0.3">
      <c r="A17" s="5">
        <v>2</v>
      </c>
      <c r="B17" s="5">
        <v>10</v>
      </c>
      <c r="C17" s="5">
        <v>2</v>
      </c>
      <c r="D17" s="5">
        <v>5</v>
      </c>
      <c r="E17" s="5">
        <v>5.5</v>
      </c>
      <c r="F17" s="5">
        <v>72</v>
      </c>
      <c r="G17" s="5">
        <v>26</v>
      </c>
      <c r="H17" s="5">
        <v>0</v>
      </c>
      <c r="I17" s="5">
        <v>0.54</v>
      </c>
      <c r="J17" s="5">
        <v>0</v>
      </c>
      <c r="K17" s="36">
        <f>(($G$21-G17)/$G$21)*100</f>
        <v>69.767441860465112</v>
      </c>
    </row>
    <row r="18" spans="1:11" x14ac:dyDescent="0.3">
      <c r="A18" s="6">
        <v>2</v>
      </c>
      <c r="B18" s="5">
        <v>11</v>
      </c>
      <c r="C18" s="6">
        <v>9</v>
      </c>
      <c r="D18" s="6">
        <v>6</v>
      </c>
      <c r="E18" s="6">
        <v>5</v>
      </c>
      <c r="F18" s="6">
        <v>92</v>
      </c>
      <c r="G18" s="6">
        <v>4</v>
      </c>
      <c r="H18" s="6">
        <v>2</v>
      </c>
      <c r="I18" s="6">
        <v>0.71</v>
      </c>
      <c r="J18" s="6">
        <v>0</v>
      </c>
      <c r="K18" s="34">
        <f t="shared" ref="K18:K25" si="1">(($G$21-G18)/$G$21)*100</f>
        <v>95.348837209302332</v>
      </c>
    </row>
    <row r="19" spans="1:11" x14ac:dyDescent="0.3">
      <c r="A19" s="6">
        <v>2</v>
      </c>
      <c r="B19" s="5">
        <v>12</v>
      </c>
      <c r="C19" s="6">
        <v>8</v>
      </c>
      <c r="D19" s="6">
        <v>4.5</v>
      </c>
      <c r="E19" s="7">
        <v>5</v>
      </c>
      <c r="F19" s="6">
        <v>57</v>
      </c>
      <c r="G19" s="6">
        <v>41</v>
      </c>
      <c r="H19" s="6">
        <v>0</v>
      </c>
      <c r="I19" s="6">
        <v>0.53</v>
      </c>
      <c r="J19" s="6">
        <v>0</v>
      </c>
      <c r="K19" s="34">
        <f t="shared" si="1"/>
        <v>52.325581395348841</v>
      </c>
    </row>
    <row r="20" spans="1:11" x14ac:dyDescent="0.3">
      <c r="A20" s="6">
        <v>2</v>
      </c>
      <c r="B20" s="5">
        <v>13</v>
      </c>
      <c r="C20" s="6">
        <v>3</v>
      </c>
      <c r="D20" s="6">
        <v>4</v>
      </c>
      <c r="E20" s="6">
        <v>5.5</v>
      </c>
      <c r="F20" s="6">
        <v>60</v>
      </c>
      <c r="G20" s="6">
        <v>38</v>
      </c>
      <c r="H20" s="6">
        <v>0</v>
      </c>
      <c r="I20" s="6">
        <v>0.57999999999999996</v>
      </c>
      <c r="J20" s="6">
        <v>0</v>
      </c>
      <c r="K20" s="34">
        <f t="shared" si="1"/>
        <v>55.813953488372093</v>
      </c>
    </row>
    <row r="21" spans="1:11" x14ac:dyDescent="0.3">
      <c r="A21" s="6">
        <v>2</v>
      </c>
      <c r="B21" s="5">
        <v>14</v>
      </c>
      <c r="C21" s="6">
        <v>1</v>
      </c>
      <c r="D21" s="6">
        <v>3.5</v>
      </c>
      <c r="E21" s="6">
        <v>4</v>
      </c>
      <c r="F21" s="6">
        <v>13</v>
      </c>
      <c r="G21" s="6">
        <v>86</v>
      </c>
      <c r="H21" s="6">
        <v>0</v>
      </c>
      <c r="I21" s="6">
        <v>0.49</v>
      </c>
      <c r="J21" s="6">
        <v>0</v>
      </c>
      <c r="K21" s="34">
        <f t="shared" si="1"/>
        <v>0</v>
      </c>
    </row>
    <row r="22" spans="1:11" x14ac:dyDescent="0.3">
      <c r="A22" s="6">
        <v>2</v>
      </c>
      <c r="B22" s="5">
        <v>15</v>
      </c>
      <c r="C22" s="6">
        <v>7</v>
      </c>
      <c r="D22" s="6">
        <v>3</v>
      </c>
      <c r="E22" s="6">
        <v>3</v>
      </c>
      <c r="F22" s="6">
        <v>17</v>
      </c>
      <c r="G22" s="6">
        <v>82</v>
      </c>
      <c r="H22" s="6">
        <v>3</v>
      </c>
      <c r="I22" s="6">
        <v>0.46</v>
      </c>
      <c r="J22" s="6">
        <v>0</v>
      </c>
      <c r="K22" s="34">
        <f t="shared" si="1"/>
        <v>4.6511627906976747</v>
      </c>
    </row>
    <row r="23" spans="1:11" x14ac:dyDescent="0.3">
      <c r="A23" s="6">
        <v>2</v>
      </c>
      <c r="B23" s="5">
        <v>16</v>
      </c>
      <c r="C23" s="6">
        <v>5</v>
      </c>
      <c r="D23" s="6">
        <v>3.5</v>
      </c>
      <c r="E23" s="6">
        <v>3.5</v>
      </c>
      <c r="F23" s="6">
        <v>22</v>
      </c>
      <c r="G23" s="6">
        <v>77</v>
      </c>
      <c r="H23" s="6">
        <v>2</v>
      </c>
      <c r="I23" s="6">
        <v>0.52</v>
      </c>
      <c r="J23" s="6">
        <v>0</v>
      </c>
      <c r="K23" s="34">
        <f t="shared" si="1"/>
        <v>10.465116279069768</v>
      </c>
    </row>
    <row r="24" spans="1:11" x14ac:dyDescent="0.3">
      <c r="A24" s="6">
        <v>2</v>
      </c>
      <c r="B24" s="5">
        <v>17</v>
      </c>
      <c r="C24" s="6">
        <v>4</v>
      </c>
      <c r="D24" s="6">
        <v>4</v>
      </c>
      <c r="E24" s="6">
        <v>5</v>
      </c>
      <c r="F24" s="6">
        <v>56</v>
      </c>
      <c r="G24" s="6">
        <v>42</v>
      </c>
      <c r="H24" s="6">
        <v>4</v>
      </c>
      <c r="I24" s="6">
        <v>0.61</v>
      </c>
      <c r="J24" s="6">
        <v>0</v>
      </c>
      <c r="K24" s="34">
        <f t="shared" si="1"/>
        <v>51.162790697674424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>
        <v>4</v>
      </c>
      <c r="E25" s="10">
        <v>3.5</v>
      </c>
      <c r="F25" s="10">
        <v>55</v>
      </c>
      <c r="G25" s="10">
        <v>44</v>
      </c>
      <c r="H25" s="10">
        <v>0</v>
      </c>
      <c r="I25" s="10">
        <v>0.42</v>
      </c>
      <c r="J25" s="10">
        <v>0</v>
      </c>
      <c r="K25" s="38">
        <f t="shared" si="1"/>
        <v>48.837209302325576</v>
      </c>
    </row>
    <row r="26" spans="1:11" x14ac:dyDescent="0.3">
      <c r="A26" s="5">
        <v>3</v>
      </c>
      <c r="B26" s="5">
        <v>19</v>
      </c>
      <c r="C26" s="5">
        <v>7</v>
      </c>
      <c r="D26" s="5">
        <v>4.5</v>
      </c>
      <c r="E26" s="5">
        <v>4.5</v>
      </c>
      <c r="F26" s="5">
        <v>70</v>
      </c>
      <c r="G26" s="5">
        <v>28</v>
      </c>
      <c r="H26" s="5">
        <v>2</v>
      </c>
      <c r="I26" s="5">
        <v>0.55000000000000004</v>
      </c>
      <c r="J26" s="5">
        <v>0</v>
      </c>
      <c r="K26" s="36">
        <f>(($G$31-G26)/$G$31)*100</f>
        <v>52.542372881355938</v>
      </c>
    </row>
    <row r="27" spans="1:11" x14ac:dyDescent="0.3">
      <c r="A27" s="6">
        <v>3</v>
      </c>
      <c r="B27" s="5">
        <v>20</v>
      </c>
      <c r="C27" s="6">
        <v>3</v>
      </c>
      <c r="D27" s="6">
        <v>5</v>
      </c>
      <c r="E27" s="6">
        <v>5</v>
      </c>
      <c r="F27" s="6">
        <v>81</v>
      </c>
      <c r="G27" s="6">
        <v>17</v>
      </c>
      <c r="H27" s="6">
        <v>0</v>
      </c>
      <c r="I27" s="6">
        <v>0.6</v>
      </c>
      <c r="J27" s="6">
        <v>0</v>
      </c>
      <c r="K27" s="34">
        <f t="shared" ref="K27:K34" si="2">(($G$31-G27)/$G$31)*100</f>
        <v>71.186440677966104</v>
      </c>
    </row>
    <row r="28" spans="1:11" x14ac:dyDescent="0.3">
      <c r="A28" s="6">
        <v>3</v>
      </c>
      <c r="B28" s="5">
        <v>21</v>
      </c>
      <c r="C28" s="6">
        <v>9</v>
      </c>
      <c r="D28" s="6">
        <v>5</v>
      </c>
      <c r="E28" s="6">
        <v>6</v>
      </c>
      <c r="F28" s="6">
        <v>84</v>
      </c>
      <c r="G28" s="6">
        <v>14</v>
      </c>
      <c r="H28" s="6">
        <v>6</v>
      </c>
      <c r="I28" s="6">
        <v>0.7</v>
      </c>
      <c r="J28" s="6">
        <v>0</v>
      </c>
      <c r="K28" s="34">
        <f t="shared" si="2"/>
        <v>76.271186440677965</v>
      </c>
    </row>
    <row r="29" spans="1:11" x14ac:dyDescent="0.3">
      <c r="A29" s="6">
        <v>3</v>
      </c>
      <c r="B29" s="5">
        <v>22</v>
      </c>
      <c r="C29" s="6">
        <v>4</v>
      </c>
      <c r="D29" s="6">
        <v>4</v>
      </c>
      <c r="E29" s="6">
        <v>5</v>
      </c>
      <c r="F29" s="6">
        <v>24</v>
      </c>
      <c r="G29" s="6">
        <v>73</v>
      </c>
      <c r="H29" s="6">
        <v>0</v>
      </c>
      <c r="I29" s="6">
        <v>0.65</v>
      </c>
      <c r="J29" s="6">
        <v>0</v>
      </c>
      <c r="K29" s="34">
        <f t="shared" si="2"/>
        <v>-23.728813559322035</v>
      </c>
    </row>
    <row r="30" spans="1:11" x14ac:dyDescent="0.3">
      <c r="A30" s="6">
        <v>3</v>
      </c>
      <c r="B30" s="5">
        <v>23</v>
      </c>
      <c r="C30" s="6">
        <v>8</v>
      </c>
      <c r="D30" s="6">
        <v>3</v>
      </c>
      <c r="E30" s="6">
        <v>3</v>
      </c>
      <c r="F30" s="6">
        <v>12</v>
      </c>
      <c r="G30" s="6">
        <v>86</v>
      </c>
      <c r="H30" s="6">
        <v>0</v>
      </c>
      <c r="I30" s="6">
        <v>0.48</v>
      </c>
      <c r="J30" s="6">
        <v>0</v>
      </c>
      <c r="K30" s="34">
        <f t="shared" si="2"/>
        <v>-45.762711864406782</v>
      </c>
    </row>
    <row r="31" spans="1:11" x14ac:dyDescent="0.3">
      <c r="A31" s="6">
        <v>3</v>
      </c>
      <c r="B31" s="5">
        <v>24</v>
      </c>
      <c r="C31" s="6">
        <v>1</v>
      </c>
      <c r="D31" s="6">
        <v>3</v>
      </c>
      <c r="E31" s="6">
        <v>3.5</v>
      </c>
      <c r="F31" s="6">
        <v>40</v>
      </c>
      <c r="G31" s="6">
        <v>59</v>
      </c>
      <c r="H31" s="6">
        <v>0</v>
      </c>
      <c r="I31" s="6">
        <v>0.49</v>
      </c>
      <c r="J31" s="6">
        <v>0</v>
      </c>
      <c r="K31" s="34">
        <f t="shared" si="2"/>
        <v>0</v>
      </c>
    </row>
    <row r="32" spans="1:11" x14ac:dyDescent="0.3">
      <c r="A32" s="6">
        <v>3</v>
      </c>
      <c r="B32" s="5">
        <v>25</v>
      </c>
      <c r="C32" s="6">
        <v>6</v>
      </c>
      <c r="D32" s="6">
        <v>3</v>
      </c>
      <c r="E32" s="6">
        <v>3</v>
      </c>
      <c r="F32" s="6">
        <v>14</v>
      </c>
      <c r="G32" s="6">
        <v>84</v>
      </c>
      <c r="H32" s="6">
        <v>0</v>
      </c>
      <c r="I32" s="6">
        <v>0.4</v>
      </c>
      <c r="J32" s="6">
        <v>0</v>
      </c>
      <c r="K32" s="34">
        <f t="shared" si="2"/>
        <v>-42.372881355932201</v>
      </c>
    </row>
    <row r="33" spans="1:11" x14ac:dyDescent="0.3">
      <c r="A33" s="6">
        <v>3</v>
      </c>
      <c r="B33" s="5">
        <v>26</v>
      </c>
      <c r="C33" s="6">
        <v>2</v>
      </c>
      <c r="D33" s="6">
        <v>4</v>
      </c>
      <c r="E33" s="6">
        <v>5</v>
      </c>
      <c r="F33" s="6">
        <v>73</v>
      </c>
      <c r="G33" s="6">
        <v>26</v>
      </c>
      <c r="H33" s="6">
        <v>0</v>
      </c>
      <c r="I33" s="6">
        <v>0.59</v>
      </c>
      <c r="J33" s="6">
        <v>0</v>
      </c>
      <c r="K33" s="34">
        <f t="shared" si="2"/>
        <v>55.932203389830505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>
        <v>4</v>
      </c>
      <c r="E34" s="10">
        <v>4</v>
      </c>
      <c r="F34" s="10">
        <v>43</v>
      </c>
      <c r="G34" s="10">
        <v>55</v>
      </c>
      <c r="H34" s="10">
        <v>0</v>
      </c>
      <c r="I34" s="10">
        <v>0.48</v>
      </c>
      <c r="J34" s="10">
        <v>0</v>
      </c>
      <c r="K34" s="38">
        <f t="shared" si="2"/>
        <v>6.7796610169491522</v>
      </c>
    </row>
    <row r="35" spans="1:11" x14ac:dyDescent="0.3">
      <c r="A35" s="5">
        <v>4</v>
      </c>
      <c r="B35" s="5">
        <v>28</v>
      </c>
      <c r="C35" s="9">
        <v>7</v>
      </c>
      <c r="D35" s="5">
        <v>4</v>
      </c>
      <c r="E35" s="5">
        <v>4.5</v>
      </c>
      <c r="F35" s="5">
        <v>73</v>
      </c>
      <c r="G35" s="5">
        <v>35</v>
      </c>
      <c r="H35" s="5">
        <v>4</v>
      </c>
      <c r="I35" s="5">
        <v>0.53</v>
      </c>
      <c r="J35" s="5">
        <v>0</v>
      </c>
      <c r="K35" s="36">
        <f>(($G$42-G35)/$G$42)*100</f>
        <v>46.969696969696969</v>
      </c>
    </row>
    <row r="36" spans="1:11" x14ac:dyDescent="0.3">
      <c r="A36" s="6">
        <v>4</v>
      </c>
      <c r="B36" s="5">
        <v>29</v>
      </c>
      <c r="C36" s="6">
        <v>3</v>
      </c>
      <c r="D36" s="6">
        <v>5</v>
      </c>
      <c r="E36" s="6">
        <v>5</v>
      </c>
      <c r="F36" s="6">
        <v>78</v>
      </c>
      <c r="G36" s="6">
        <v>20</v>
      </c>
      <c r="H36" s="6">
        <v>3</v>
      </c>
      <c r="I36" s="6">
        <v>0.66</v>
      </c>
      <c r="J36" s="6">
        <v>0</v>
      </c>
      <c r="K36" s="34">
        <f t="shared" ref="K36:K43" si="3">(($G$42-G36)/$G$42)*100</f>
        <v>69.696969696969703</v>
      </c>
    </row>
    <row r="37" spans="1:11" x14ac:dyDescent="0.3">
      <c r="A37" s="6">
        <v>4</v>
      </c>
      <c r="B37" s="5">
        <v>30</v>
      </c>
      <c r="C37" s="6">
        <v>4</v>
      </c>
      <c r="D37" s="6">
        <v>4.5</v>
      </c>
      <c r="E37" s="6">
        <v>5.5</v>
      </c>
      <c r="F37" s="6">
        <v>71</v>
      </c>
      <c r="G37" s="6">
        <v>37</v>
      </c>
      <c r="H37" s="6">
        <v>2</v>
      </c>
      <c r="I37" s="6">
        <v>0.69</v>
      </c>
      <c r="J37" s="6">
        <v>0</v>
      </c>
      <c r="K37" s="34">
        <f t="shared" si="3"/>
        <v>43.939393939393938</v>
      </c>
    </row>
    <row r="38" spans="1:11" x14ac:dyDescent="0.3">
      <c r="A38" s="6">
        <v>4</v>
      </c>
      <c r="B38" s="5">
        <v>31</v>
      </c>
      <c r="C38" s="6">
        <v>6</v>
      </c>
      <c r="D38" s="6">
        <v>4</v>
      </c>
      <c r="E38" s="6">
        <v>4</v>
      </c>
      <c r="F38" s="6">
        <v>42</v>
      </c>
      <c r="G38" s="6">
        <v>64</v>
      </c>
      <c r="H38" s="6">
        <v>0</v>
      </c>
      <c r="I38" s="6">
        <v>0.55000000000000004</v>
      </c>
      <c r="J38" s="6">
        <v>0</v>
      </c>
      <c r="K38" s="34">
        <f t="shared" si="3"/>
        <v>3.0303030303030303</v>
      </c>
    </row>
    <row r="39" spans="1:11" x14ac:dyDescent="0.3">
      <c r="A39" s="6">
        <v>4</v>
      </c>
      <c r="B39" s="5">
        <v>32</v>
      </c>
      <c r="C39" s="6">
        <v>5</v>
      </c>
      <c r="D39" s="6">
        <v>3.5</v>
      </c>
      <c r="E39" s="6">
        <v>3.5</v>
      </c>
      <c r="F39" s="6">
        <v>30</v>
      </c>
      <c r="G39" s="6">
        <v>69</v>
      </c>
      <c r="H39" s="6">
        <v>2</v>
      </c>
      <c r="I39" s="6">
        <v>0.52</v>
      </c>
      <c r="J39" s="6">
        <v>0</v>
      </c>
      <c r="K39" s="34">
        <f t="shared" si="3"/>
        <v>-4.5454545454545459</v>
      </c>
    </row>
    <row r="40" spans="1:11" x14ac:dyDescent="0.3">
      <c r="A40" s="6">
        <v>4</v>
      </c>
      <c r="B40" s="5">
        <v>33</v>
      </c>
      <c r="C40" s="6">
        <v>9</v>
      </c>
      <c r="D40" s="6">
        <v>4</v>
      </c>
      <c r="E40" s="6">
        <v>5</v>
      </c>
      <c r="F40" s="6">
        <v>78</v>
      </c>
      <c r="G40" s="6">
        <v>21</v>
      </c>
      <c r="H40" s="6">
        <v>4</v>
      </c>
      <c r="I40" s="6">
        <v>0.72</v>
      </c>
      <c r="J40" s="6">
        <v>0</v>
      </c>
      <c r="K40" s="34">
        <f t="shared" si="3"/>
        <v>68.181818181818173</v>
      </c>
    </row>
    <row r="41" spans="1:11" x14ac:dyDescent="0.3">
      <c r="A41" s="6">
        <v>4</v>
      </c>
      <c r="B41" s="5">
        <v>34</v>
      </c>
      <c r="C41" s="6">
        <v>2</v>
      </c>
      <c r="D41" s="6">
        <v>4</v>
      </c>
      <c r="E41" s="6">
        <v>4</v>
      </c>
      <c r="F41" s="6">
        <v>27</v>
      </c>
      <c r="G41" s="6">
        <v>72</v>
      </c>
      <c r="H41" s="6">
        <v>0</v>
      </c>
      <c r="I41" s="6">
        <v>0.46</v>
      </c>
      <c r="J41" s="6">
        <v>0</v>
      </c>
      <c r="K41" s="34">
        <f t="shared" si="3"/>
        <v>-9.0909090909090917</v>
      </c>
    </row>
    <row r="42" spans="1:11" x14ac:dyDescent="0.3">
      <c r="A42" s="6">
        <v>4</v>
      </c>
      <c r="B42" s="5">
        <v>35</v>
      </c>
      <c r="C42" s="6">
        <v>1</v>
      </c>
      <c r="D42" s="6">
        <v>3.5</v>
      </c>
      <c r="E42" s="6">
        <v>3.5</v>
      </c>
      <c r="F42" s="6">
        <v>35</v>
      </c>
      <c r="G42" s="6">
        <v>66</v>
      </c>
      <c r="H42" s="6">
        <v>0</v>
      </c>
      <c r="I42" s="6">
        <v>0.48</v>
      </c>
      <c r="J42" s="6">
        <v>0</v>
      </c>
      <c r="K42" s="34">
        <f t="shared" si="3"/>
        <v>0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>
        <v>4</v>
      </c>
      <c r="E43" s="11">
        <v>4</v>
      </c>
      <c r="F43" s="11">
        <v>75</v>
      </c>
      <c r="G43" s="11">
        <v>27</v>
      </c>
      <c r="H43" s="11">
        <v>0</v>
      </c>
      <c r="I43" s="11">
        <v>0.59</v>
      </c>
      <c r="J43" s="12">
        <v>0</v>
      </c>
      <c r="K43" s="38">
        <f t="shared" si="3"/>
        <v>59.090909090909093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3"/>
  <sheetViews>
    <sheetView workbookViewId="0">
      <selection activeCell="K7" sqref="K7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32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  <c r="B5" t="s">
        <v>17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/>
      <c r="E8" s="6"/>
      <c r="F8" s="6"/>
      <c r="G8" s="6">
        <v>5</v>
      </c>
      <c r="H8" s="6"/>
      <c r="I8" s="6"/>
      <c r="J8" s="6">
        <v>0</v>
      </c>
      <c r="K8" s="36">
        <f>(($G$16-G8)/$G$16)*100</f>
        <v>89.583333333333343</v>
      </c>
    </row>
    <row r="9" spans="1:11" x14ac:dyDescent="0.3">
      <c r="A9" s="6">
        <v>1</v>
      </c>
      <c r="B9" s="5">
        <v>2</v>
      </c>
      <c r="C9" s="6">
        <v>5</v>
      </c>
      <c r="D9" s="6"/>
      <c r="E9" s="6"/>
      <c r="F9" s="6"/>
      <c r="G9" s="6">
        <v>42</v>
      </c>
      <c r="H9" s="6"/>
      <c r="I9" s="6"/>
      <c r="J9" s="6">
        <v>0</v>
      </c>
      <c r="K9" s="34">
        <f t="shared" ref="K9:K16" si="0">(($G$16-G9)/$G$16)*100</f>
        <v>12.5</v>
      </c>
    </row>
    <row r="10" spans="1:11" x14ac:dyDescent="0.3">
      <c r="A10" s="6">
        <v>1</v>
      </c>
      <c r="B10" s="5">
        <v>3</v>
      </c>
      <c r="C10" s="6">
        <v>4</v>
      </c>
      <c r="D10" s="6"/>
      <c r="E10" s="6"/>
      <c r="F10" s="6"/>
      <c r="G10" s="6">
        <v>54</v>
      </c>
      <c r="H10" s="6"/>
      <c r="I10" s="6"/>
      <c r="J10" s="6">
        <v>0</v>
      </c>
      <c r="K10" s="34">
        <f t="shared" si="0"/>
        <v>-12.5</v>
      </c>
    </row>
    <row r="11" spans="1:11" x14ac:dyDescent="0.3">
      <c r="A11" s="6">
        <v>1</v>
      </c>
      <c r="B11" s="5">
        <v>4</v>
      </c>
      <c r="C11" s="6">
        <v>7</v>
      </c>
      <c r="D11" s="6"/>
      <c r="E11" s="6"/>
      <c r="F11" s="6"/>
      <c r="G11" s="6">
        <v>72</v>
      </c>
      <c r="H11" s="6"/>
      <c r="I11" s="6"/>
      <c r="J11" s="6">
        <v>0</v>
      </c>
      <c r="K11" s="34">
        <f t="shared" si="0"/>
        <v>-50</v>
      </c>
    </row>
    <row r="12" spans="1:11" x14ac:dyDescent="0.3">
      <c r="A12" s="6">
        <v>1</v>
      </c>
      <c r="B12" s="5">
        <v>5</v>
      </c>
      <c r="C12" s="6">
        <v>2</v>
      </c>
      <c r="D12" s="6"/>
      <c r="E12" s="6"/>
      <c r="F12" s="6"/>
      <c r="G12" s="6">
        <v>52</v>
      </c>
      <c r="H12" s="6"/>
      <c r="I12" s="6"/>
      <c r="J12" s="6">
        <v>0</v>
      </c>
      <c r="K12" s="34">
        <f t="shared" si="0"/>
        <v>-8.3333333333333321</v>
      </c>
    </row>
    <row r="13" spans="1:11" x14ac:dyDescent="0.3">
      <c r="A13" s="6">
        <v>1</v>
      </c>
      <c r="B13" s="5">
        <v>6</v>
      </c>
      <c r="C13" s="6">
        <v>6</v>
      </c>
      <c r="D13" s="6"/>
      <c r="E13" s="6"/>
      <c r="F13" s="6"/>
      <c r="G13" s="6">
        <v>94</v>
      </c>
      <c r="H13" s="6"/>
      <c r="I13" s="6"/>
      <c r="J13" s="6">
        <v>0</v>
      </c>
      <c r="K13" s="34">
        <f t="shared" si="0"/>
        <v>-95.833333333333343</v>
      </c>
    </row>
    <row r="14" spans="1:11" x14ac:dyDescent="0.3">
      <c r="A14" s="6">
        <v>1</v>
      </c>
      <c r="B14" s="5">
        <v>7</v>
      </c>
      <c r="C14" s="6">
        <v>8</v>
      </c>
      <c r="D14" s="6"/>
      <c r="E14" s="6"/>
      <c r="F14" s="6"/>
      <c r="G14" s="6">
        <v>95</v>
      </c>
      <c r="H14" s="6"/>
      <c r="I14" s="6"/>
      <c r="J14" s="6">
        <v>0</v>
      </c>
      <c r="K14" s="34">
        <f t="shared" si="0"/>
        <v>-97.916666666666657</v>
      </c>
    </row>
    <row r="15" spans="1:11" x14ac:dyDescent="0.3">
      <c r="A15" s="6">
        <v>1</v>
      </c>
      <c r="B15" s="5">
        <v>8</v>
      </c>
      <c r="C15" s="6">
        <v>3</v>
      </c>
      <c r="D15" s="6"/>
      <c r="E15" s="6"/>
      <c r="F15" s="6"/>
      <c r="G15" s="6">
        <v>46</v>
      </c>
      <c r="H15" s="6"/>
      <c r="I15" s="6"/>
      <c r="J15" s="6">
        <v>0</v>
      </c>
      <c r="K15" s="34">
        <f t="shared" si="0"/>
        <v>4.1666666666666661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/>
      <c r="E16" s="10"/>
      <c r="F16" s="10"/>
      <c r="G16" s="10">
        <v>48</v>
      </c>
      <c r="H16" s="10"/>
      <c r="I16" s="10"/>
      <c r="J16" s="10">
        <v>0</v>
      </c>
      <c r="K16" s="38">
        <f t="shared" si="0"/>
        <v>0</v>
      </c>
    </row>
    <row r="17" spans="1:11" x14ac:dyDescent="0.3">
      <c r="A17" s="5">
        <v>2</v>
      </c>
      <c r="B17" s="5">
        <v>10</v>
      </c>
      <c r="C17" s="5">
        <v>2</v>
      </c>
      <c r="D17" s="5"/>
      <c r="E17" s="5"/>
      <c r="F17" s="5"/>
      <c r="G17" s="5">
        <v>36</v>
      </c>
      <c r="H17" s="5"/>
      <c r="I17" s="5"/>
      <c r="J17" s="5">
        <v>0</v>
      </c>
      <c r="K17" s="36">
        <f>(($G$21-G17)/$G$21)*100</f>
        <v>57.142857142857139</v>
      </c>
    </row>
    <row r="18" spans="1:11" x14ac:dyDescent="0.3">
      <c r="A18" s="6">
        <v>2</v>
      </c>
      <c r="B18" s="5">
        <v>11</v>
      </c>
      <c r="C18" s="6">
        <v>9</v>
      </c>
      <c r="D18" s="6"/>
      <c r="E18" s="6"/>
      <c r="F18" s="6"/>
      <c r="G18" s="6">
        <v>3</v>
      </c>
      <c r="H18" s="6"/>
      <c r="I18" s="6"/>
      <c r="J18" s="6">
        <v>0</v>
      </c>
      <c r="K18" s="34">
        <f t="shared" ref="K18:K25" si="1">(($G$21-G18)/$G$21)*100</f>
        <v>96.428571428571431</v>
      </c>
    </row>
    <row r="19" spans="1:11" x14ac:dyDescent="0.3">
      <c r="A19" s="6">
        <v>2</v>
      </c>
      <c r="B19" s="5">
        <v>12</v>
      </c>
      <c r="C19" s="6">
        <v>8</v>
      </c>
      <c r="D19" s="6"/>
      <c r="E19" s="7"/>
      <c r="F19" s="6"/>
      <c r="G19" s="6">
        <v>39</v>
      </c>
      <c r="H19" s="6"/>
      <c r="I19" s="6"/>
      <c r="J19" s="6">
        <v>0</v>
      </c>
      <c r="K19" s="34">
        <f t="shared" si="1"/>
        <v>53.571428571428569</v>
      </c>
    </row>
    <row r="20" spans="1:11" x14ac:dyDescent="0.3">
      <c r="A20" s="6">
        <v>2</v>
      </c>
      <c r="B20" s="5">
        <v>13</v>
      </c>
      <c r="C20" s="6">
        <v>3</v>
      </c>
      <c r="D20" s="6"/>
      <c r="E20" s="6"/>
      <c r="F20" s="6"/>
      <c r="G20" s="6">
        <v>36</v>
      </c>
      <c r="H20" s="6"/>
      <c r="I20" s="6"/>
      <c r="J20" s="6">
        <v>0</v>
      </c>
      <c r="K20" s="34">
        <f t="shared" si="1"/>
        <v>57.142857142857139</v>
      </c>
    </row>
    <row r="21" spans="1:11" x14ac:dyDescent="0.3">
      <c r="A21" s="6">
        <v>2</v>
      </c>
      <c r="B21" s="5">
        <v>14</v>
      </c>
      <c r="C21" s="6">
        <v>1</v>
      </c>
      <c r="D21" s="6"/>
      <c r="E21" s="6"/>
      <c r="F21" s="6"/>
      <c r="G21" s="6">
        <v>84</v>
      </c>
      <c r="H21" s="6"/>
      <c r="I21" s="6"/>
      <c r="J21" s="6">
        <v>0</v>
      </c>
      <c r="K21" s="34">
        <f t="shared" si="1"/>
        <v>0</v>
      </c>
    </row>
    <row r="22" spans="1:11" x14ac:dyDescent="0.3">
      <c r="A22" s="6">
        <v>2</v>
      </c>
      <c r="B22" s="5">
        <v>15</v>
      </c>
      <c r="C22" s="6">
        <v>7</v>
      </c>
      <c r="D22" s="6"/>
      <c r="E22" s="6"/>
      <c r="F22" s="6"/>
      <c r="G22" s="6">
        <v>83</v>
      </c>
      <c r="H22" s="6"/>
      <c r="I22" s="6"/>
      <c r="J22" s="6">
        <v>0</v>
      </c>
      <c r="K22" s="34">
        <f t="shared" si="1"/>
        <v>1.1904761904761905</v>
      </c>
    </row>
    <row r="23" spans="1:11" x14ac:dyDescent="0.3">
      <c r="A23" s="6">
        <v>2</v>
      </c>
      <c r="B23" s="5">
        <v>16</v>
      </c>
      <c r="C23" s="6">
        <v>5</v>
      </c>
      <c r="D23" s="6"/>
      <c r="E23" s="6"/>
      <c r="F23" s="6"/>
      <c r="G23" s="6">
        <v>78</v>
      </c>
      <c r="H23" s="6"/>
      <c r="I23" s="6"/>
      <c r="J23" s="6">
        <v>0</v>
      </c>
      <c r="K23" s="34">
        <f t="shared" si="1"/>
        <v>7.1428571428571423</v>
      </c>
    </row>
    <row r="24" spans="1:11" x14ac:dyDescent="0.3">
      <c r="A24" s="6">
        <v>2</v>
      </c>
      <c r="B24" s="5">
        <v>17</v>
      </c>
      <c r="C24" s="6">
        <v>4</v>
      </c>
      <c r="D24" s="6"/>
      <c r="E24" s="6"/>
      <c r="F24" s="6"/>
      <c r="G24" s="6">
        <v>42</v>
      </c>
      <c r="H24" s="6"/>
      <c r="I24" s="6"/>
      <c r="J24" s="6">
        <v>0</v>
      </c>
      <c r="K24" s="34">
        <f t="shared" si="1"/>
        <v>50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/>
      <c r="E25" s="10"/>
      <c r="F25" s="10"/>
      <c r="G25" s="10">
        <v>47</v>
      </c>
      <c r="H25" s="10"/>
      <c r="I25" s="10"/>
      <c r="J25" s="10">
        <v>0</v>
      </c>
      <c r="K25" s="38">
        <f t="shared" si="1"/>
        <v>44.047619047619044</v>
      </c>
    </row>
    <row r="26" spans="1:11" x14ac:dyDescent="0.3">
      <c r="A26" s="5">
        <v>3</v>
      </c>
      <c r="B26" s="5">
        <v>19</v>
      </c>
      <c r="C26" s="5">
        <v>7</v>
      </c>
      <c r="D26" s="5"/>
      <c r="E26" s="5"/>
      <c r="F26" s="5"/>
      <c r="G26" s="5">
        <v>30</v>
      </c>
      <c r="H26" s="5"/>
      <c r="I26" s="5"/>
      <c r="J26" s="5">
        <v>0</v>
      </c>
      <c r="K26" s="36">
        <f>(($G$31-G26)/$G$31)*100</f>
        <v>65.517241379310349</v>
      </c>
    </row>
    <row r="27" spans="1:11" x14ac:dyDescent="0.3">
      <c r="A27" s="6">
        <v>3</v>
      </c>
      <c r="B27" s="5">
        <v>20</v>
      </c>
      <c r="C27" s="6">
        <v>3</v>
      </c>
      <c r="D27" s="6"/>
      <c r="E27" s="6"/>
      <c r="F27" s="6"/>
      <c r="G27" s="6">
        <v>21</v>
      </c>
      <c r="H27" s="6"/>
      <c r="I27" s="6"/>
      <c r="J27" s="6">
        <v>0</v>
      </c>
      <c r="K27" s="34">
        <f t="shared" ref="K27:K34" si="2">(($G$31-G27)/$G$31)*100</f>
        <v>75.862068965517238</v>
      </c>
    </row>
    <row r="28" spans="1:11" x14ac:dyDescent="0.3">
      <c r="A28" s="6">
        <v>3</v>
      </c>
      <c r="B28" s="5">
        <v>21</v>
      </c>
      <c r="C28" s="6">
        <v>9</v>
      </c>
      <c r="D28" s="6"/>
      <c r="E28" s="6"/>
      <c r="F28" s="6"/>
      <c r="G28" s="6">
        <v>9</v>
      </c>
      <c r="H28" s="6"/>
      <c r="I28" s="6"/>
      <c r="J28" s="6">
        <v>0</v>
      </c>
      <c r="K28" s="34">
        <f t="shared" si="2"/>
        <v>89.65517241379311</v>
      </c>
    </row>
    <row r="29" spans="1:11" x14ac:dyDescent="0.3">
      <c r="A29" s="6">
        <v>3</v>
      </c>
      <c r="B29" s="5">
        <v>22</v>
      </c>
      <c r="C29" s="6">
        <v>4</v>
      </c>
      <c r="D29" s="6"/>
      <c r="E29" s="6"/>
      <c r="F29" s="6"/>
      <c r="G29" s="6">
        <v>55</v>
      </c>
      <c r="H29" s="6"/>
      <c r="I29" s="6"/>
      <c r="J29" s="6">
        <v>0</v>
      </c>
      <c r="K29" s="34">
        <f t="shared" si="2"/>
        <v>36.781609195402297</v>
      </c>
    </row>
    <row r="30" spans="1:11" x14ac:dyDescent="0.3">
      <c r="A30" s="6">
        <v>3</v>
      </c>
      <c r="B30" s="5">
        <v>23</v>
      </c>
      <c r="C30" s="6">
        <v>8</v>
      </c>
      <c r="D30" s="6"/>
      <c r="E30" s="6"/>
      <c r="F30" s="6"/>
      <c r="G30" s="6">
        <v>92</v>
      </c>
      <c r="H30" s="6"/>
      <c r="I30" s="6"/>
      <c r="J30" s="6">
        <v>0</v>
      </c>
      <c r="K30" s="34">
        <f t="shared" si="2"/>
        <v>-5.7471264367816088</v>
      </c>
    </row>
    <row r="31" spans="1:11" x14ac:dyDescent="0.3">
      <c r="A31" s="6">
        <v>3</v>
      </c>
      <c r="B31" s="5">
        <v>24</v>
      </c>
      <c r="C31" s="6">
        <v>1</v>
      </c>
      <c r="D31" s="6"/>
      <c r="E31" s="6"/>
      <c r="F31" s="6"/>
      <c r="G31" s="6">
        <v>87</v>
      </c>
      <c r="H31" s="6"/>
      <c r="I31" s="6"/>
      <c r="J31" s="6">
        <v>0</v>
      </c>
      <c r="K31" s="34">
        <f t="shared" si="2"/>
        <v>0</v>
      </c>
    </row>
    <row r="32" spans="1:11" x14ac:dyDescent="0.3">
      <c r="A32" s="6">
        <v>3</v>
      </c>
      <c r="B32" s="5">
        <v>25</v>
      </c>
      <c r="C32" s="6">
        <v>6</v>
      </c>
      <c r="D32" s="6"/>
      <c r="E32" s="6"/>
      <c r="F32" s="6"/>
      <c r="G32" s="6">
        <v>86</v>
      </c>
      <c r="H32" s="6"/>
      <c r="I32" s="6"/>
      <c r="J32" s="6">
        <v>0</v>
      </c>
      <c r="K32" s="34">
        <f t="shared" si="2"/>
        <v>1.1494252873563218</v>
      </c>
    </row>
    <row r="33" spans="1:11" x14ac:dyDescent="0.3">
      <c r="A33" s="6">
        <v>3</v>
      </c>
      <c r="B33" s="5">
        <v>26</v>
      </c>
      <c r="C33" s="6">
        <v>2</v>
      </c>
      <c r="D33" s="6"/>
      <c r="E33" s="6"/>
      <c r="F33" s="6"/>
      <c r="G33" s="6">
        <v>37</v>
      </c>
      <c r="H33" s="6"/>
      <c r="I33" s="6"/>
      <c r="J33" s="6">
        <v>0</v>
      </c>
      <c r="K33" s="34">
        <f t="shared" si="2"/>
        <v>57.47126436781609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/>
      <c r="E34" s="10"/>
      <c r="F34" s="10"/>
      <c r="G34" s="10">
        <v>52</v>
      </c>
      <c r="H34" s="10"/>
      <c r="I34" s="10"/>
      <c r="J34" s="10">
        <v>0</v>
      </c>
      <c r="K34" s="38">
        <f t="shared" si="2"/>
        <v>40.229885057471265</v>
      </c>
    </row>
    <row r="35" spans="1:11" x14ac:dyDescent="0.3">
      <c r="A35" s="5">
        <v>4</v>
      </c>
      <c r="B35" s="5">
        <v>28</v>
      </c>
      <c r="C35" s="9">
        <v>7</v>
      </c>
      <c r="D35" s="5"/>
      <c r="E35" s="5"/>
      <c r="F35" s="5"/>
      <c r="G35" s="5">
        <v>37</v>
      </c>
      <c r="H35" s="5"/>
      <c r="I35" s="5"/>
      <c r="J35" s="5">
        <v>0</v>
      </c>
      <c r="K35" s="36">
        <f>(($G$42-G35)/$G$42)*100</f>
        <v>37.288135593220339</v>
      </c>
    </row>
    <row r="36" spans="1:11" x14ac:dyDescent="0.3">
      <c r="A36" s="6">
        <v>4</v>
      </c>
      <c r="B36" s="5">
        <v>29</v>
      </c>
      <c r="C36" s="6">
        <v>3</v>
      </c>
      <c r="D36" s="6"/>
      <c r="E36" s="6"/>
      <c r="F36" s="6"/>
      <c r="G36" s="6">
        <v>19</v>
      </c>
      <c r="H36" s="6"/>
      <c r="I36" s="6"/>
      <c r="J36" s="6">
        <v>0</v>
      </c>
      <c r="K36" s="34">
        <f t="shared" ref="K36:K43" si="3">(($G$42-G36)/$G$42)*100</f>
        <v>67.796610169491515</v>
      </c>
    </row>
    <row r="37" spans="1:11" x14ac:dyDescent="0.3">
      <c r="A37" s="6">
        <v>4</v>
      </c>
      <c r="B37" s="5">
        <v>30</v>
      </c>
      <c r="C37" s="6">
        <v>4</v>
      </c>
      <c r="D37" s="6"/>
      <c r="E37" s="6"/>
      <c r="F37" s="6"/>
      <c r="G37" s="6">
        <v>14</v>
      </c>
      <c r="H37" s="6"/>
      <c r="I37" s="6"/>
      <c r="J37" s="6">
        <v>0</v>
      </c>
      <c r="K37" s="34">
        <f t="shared" si="3"/>
        <v>76.271186440677965</v>
      </c>
    </row>
    <row r="38" spans="1:11" x14ac:dyDescent="0.3">
      <c r="A38" s="6">
        <v>4</v>
      </c>
      <c r="B38" s="5">
        <v>31</v>
      </c>
      <c r="C38" s="6">
        <v>6</v>
      </c>
      <c r="D38" s="6"/>
      <c r="E38" s="6"/>
      <c r="F38" s="6"/>
      <c r="G38" s="6">
        <v>44</v>
      </c>
      <c r="H38" s="6"/>
      <c r="I38" s="6"/>
      <c r="J38" s="6">
        <v>0</v>
      </c>
      <c r="K38" s="34">
        <f t="shared" si="3"/>
        <v>25.423728813559322</v>
      </c>
    </row>
    <row r="39" spans="1:11" x14ac:dyDescent="0.3">
      <c r="A39" s="6">
        <v>4</v>
      </c>
      <c r="B39" s="5">
        <v>32</v>
      </c>
      <c r="C39" s="6">
        <v>5</v>
      </c>
      <c r="D39" s="6"/>
      <c r="E39" s="6"/>
      <c r="F39" s="6"/>
      <c r="G39" s="6">
        <v>67</v>
      </c>
      <c r="H39" s="6"/>
      <c r="I39" s="6"/>
      <c r="J39" s="6">
        <v>0</v>
      </c>
      <c r="K39" s="34">
        <f t="shared" si="3"/>
        <v>-13.559322033898304</v>
      </c>
    </row>
    <row r="40" spans="1:11" x14ac:dyDescent="0.3">
      <c r="A40" s="6">
        <v>4</v>
      </c>
      <c r="B40" s="5">
        <v>33</v>
      </c>
      <c r="C40" s="6">
        <v>9</v>
      </c>
      <c r="D40" s="6"/>
      <c r="E40" s="6"/>
      <c r="F40" s="6"/>
      <c r="G40" s="6">
        <v>16</v>
      </c>
      <c r="H40" s="6"/>
      <c r="I40" s="6"/>
      <c r="J40" s="6">
        <v>0</v>
      </c>
      <c r="K40" s="34">
        <f t="shared" si="3"/>
        <v>72.881355932203391</v>
      </c>
    </row>
    <row r="41" spans="1:11" x14ac:dyDescent="0.3">
      <c r="A41" s="6">
        <v>4</v>
      </c>
      <c r="B41" s="5">
        <v>34</v>
      </c>
      <c r="C41" s="6">
        <v>2</v>
      </c>
      <c r="D41" s="6"/>
      <c r="E41" s="6"/>
      <c r="F41" s="6"/>
      <c r="G41" s="6">
        <v>47</v>
      </c>
      <c r="H41" s="6"/>
      <c r="I41" s="6"/>
      <c r="J41" s="6">
        <v>0</v>
      </c>
      <c r="K41" s="34">
        <f t="shared" si="3"/>
        <v>20.33898305084746</v>
      </c>
    </row>
    <row r="42" spans="1:11" x14ac:dyDescent="0.3">
      <c r="A42" s="6">
        <v>4</v>
      </c>
      <c r="B42" s="5">
        <v>35</v>
      </c>
      <c r="C42" s="6">
        <v>1</v>
      </c>
      <c r="D42" s="6"/>
      <c r="E42" s="6"/>
      <c r="F42" s="6"/>
      <c r="G42" s="6">
        <v>59</v>
      </c>
      <c r="H42" s="6"/>
      <c r="I42" s="6"/>
      <c r="J42" s="6">
        <v>0</v>
      </c>
      <c r="K42" s="34">
        <f t="shared" si="3"/>
        <v>0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/>
      <c r="E43" s="11"/>
      <c r="F43" s="11"/>
      <c r="G43" s="11">
        <v>27</v>
      </c>
      <c r="H43" s="11"/>
      <c r="I43" s="11"/>
      <c r="J43" s="12">
        <v>0</v>
      </c>
      <c r="K43" s="38">
        <f t="shared" si="3"/>
        <v>54.237288135593218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"/>
  <sheetViews>
    <sheetView topLeftCell="A18" workbookViewId="0">
      <selection activeCell="F44" sqref="F44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47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  <c r="B5" t="s">
        <v>49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>
        <v>3</v>
      </c>
      <c r="E8" s="6">
        <v>4</v>
      </c>
      <c r="F8" s="6">
        <v>62</v>
      </c>
      <c r="G8" s="6"/>
      <c r="H8" s="6"/>
      <c r="I8" s="6">
        <v>0.36</v>
      </c>
      <c r="J8" s="6">
        <v>0</v>
      </c>
      <c r="K8" s="36" t="e">
        <f>(($G$16-G8)/$G$16)*100</f>
        <v>#DIV/0!</v>
      </c>
    </row>
    <row r="9" spans="1:11" x14ac:dyDescent="0.3">
      <c r="A9" s="6">
        <v>1</v>
      </c>
      <c r="B9" s="5">
        <v>2</v>
      </c>
      <c r="C9" s="6">
        <v>5</v>
      </c>
      <c r="D9" s="6">
        <v>1.5</v>
      </c>
      <c r="E9" s="6">
        <v>2.5</v>
      </c>
      <c r="F9" s="6">
        <v>20</v>
      </c>
      <c r="G9" s="6"/>
      <c r="H9" s="6"/>
      <c r="I9" s="6">
        <v>0.25</v>
      </c>
      <c r="J9" s="6">
        <v>0</v>
      </c>
      <c r="K9" s="34" t="e">
        <f t="shared" ref="K9:K16" si="0">(($G$16-G9)/$G$16)*100</f>
        <v>#DIV/0!</v>
      </c>
    </row>
    <row r="10" spans="1:11" x14ac:dyDescent="0.3">
      <c r="A10" s="6">
        <v>1</v>
      </c>
      <c r="B10" s="5">
        <v>3</v>
      </c>
      <c r="C10" s="6">
        <v>4</v>
      </c>
      <c r="D10" s="6">
        <v>2</v>
      </c>
      <c r="E10" s="6">
        <v>3.5</v>
      </c>
      <c r="F10" s="6">
        <v>22</v>
      </c>
      <c r="G10" s="6"/>
      <c r="H10" s="6"/>
      <c r="I10" s="6">
        <v>0.3</v>
      </c>
      <c r="J10" s="6">
        <v>0</v>
      </c>
      <c r="K10" s="34" t="e">
        <f t="shared" si="0"/>
        <v>#DIV/0!</v>
      </c>
    </row>
    <row r="11" spans="1:11" x14ac:dyDescent="0.3">
      <c r="A11" s="6">
        <v>1</v>
      </c>
      <c r="B11" s="5">
        <v>4</v>
      </c>
      <c r="C11" s="6">
        <v>7</v>
      </c>
      <c r="D11" s="6">
        <v>1.5</v>
      </c>
      <c r="E11" s="6">
        <v>2</v>
      </c>
      <c r="F11" s="6">
        <v>13</v>
      </c>
      <c r="G11" s="6"/>
      <c r="H11" s="6"/>
      <c r="I11" s="6">
        <v>0.22</v>
      </c>
      <c r="J11" s="6">
        <v>0</v>
      </c>
      <c r="K11" s="34" t="e">
        <f t="shared" si="0"/>
        <v>#DIV/0!</v>
      </c>
    </row>
    <row r="12" spans="1:11" x14ac:dyDescent="0.3">
      <c r="A12" s="6">
        <v>1</v>
      </c>
      <c r="B12" s="5">
        <v>5</v>
      </c>
      <c r="C12" s="6">
        <v>2</v>
      </c>
      <c r="D12" s="6">
        <v>2.5</v>
      </c>
      <c r="E12" s="6">
        <v>3.5</v>
      </c>
      <c r="F12" s="6">
        <v>27</v>
      </c>
      <c r="G12" s="6"/>
      <c r="H12" s="6"/>
      <c r="I12" s="6">
        <v>0.24</v>
      </c>
      <c r="J12" s="6">
        <v>0</v>
      </c>
      <c r="K12" s="34" t="e">
        <f t="shared" si="0"/>
        <v>#DIV/0!</v>
      </c>
    </row>
    <row r="13" spans="1:11" x14ac:dyDescent="0.3">
      <c r="A13" s="6">
        <v>1</v>
      </c>
      <c r="B13" s="5">
        <v>6</v>
      </c>
      <c r="C13" s="6">
        <v>6</v>
      </c>
      <c r="D13" s="6">
        <v>1.5</v>
      </c>
      <c r="E13" s="6">
        <v>1.5</v>
      </c>
      <c r="F13" s="6">
        <v>12</v>
      </c>
      <c r="G13" s="6"/>
      <c r="H13" s="6"/>
      <c r="I13" s="6">
        <v>0.23</v>
      </c>
      <c r="J13" s="6">
        <v>0</v>
      </c>
      <c r="K13" s="34" t="e">
        <f t="shared" si="0"/>
        <v>#DIV/0!</v>
      </c>
    </row>
    <row r="14" spans="1:11" x14ac:dyDescent="0.3">
      <c r="A14" s="6">
        <v>1</v>
      </c>
      <c r="B14" s="5">
        <v>7</v>
      </c>
      <c r="C14" s="6">
        <v>8</v>
      </c>
      <c r="D14" s="6">
        <v>1.5</v>
      </c>
      <c r="E14" s="6">
        <v>1.5</v>
      </c>
      <c r="F14" s="6">
        <v>16</v>
      </c>
      <c r="G14" s="6"/>
      <c r="H14" s="6"/>
      <c r="I14" s="6">
        <v>0.24</v>
      </c>
      <c r="J14" s="6">
        <v>0</v>
      </c>
      <c r="K14" s="34" t="e">
        <f t="shared" si="0"/>
        <v>#DIV/0!</v>
      </c>
    </row>
    <row r="15" spans="1:11" x14ac:dyDescent="0.3">
      <c r="A15" s="6">
        <v>1</v>
      </c>
      <c r="B15" s="5">
        <v>8</v>
      </c>
      <c r="C15" s="6">
        <v>3</v>
      </c>
      <c r="D15" s="6">
        <v>2</v>
      </c>
      <c r="E15" s="6">
        <v>2</v>
      </c>
      <c r="F15" s="6">
        <v>17</v>
      </c>
      <c r="G15" s="6"/>
      <c r="H15" s="6"/>
      <c r="I15" s="6">
        <v>0.21</v>
      </c>
      <c r="J15" s="6">
        <v>0</v>
      </c>
      <c r="K15" s="34" t="e">
        <f t="shared" si="0"/>
        <v>#DIV/0!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>
        <v>2</v>
      </c>
      <c r="E16" s="10">
        <v>2.5</v>
      </c>
      <c r="F16" s="10">
        <v>23</v>
      </c>
      <c r="G16" s="10"/>
      <c r="H16" s="10"/>
      <c r="I16" s="10">
        <v>0.2</v>
      </c>
      <c r="J16" s="10">
        <v>0</v>
      </c>
      <c r="K16" s="38" t="e">
        <f t="shared" si="0"/>
        <v>#DIV/0!</v>
      </c>
    </row>
    <row r="17" spans="1:11" x14ac:dyDescent="0.3">
      <c r="A17" s="5">
        <v>2</v>
      </c>
      <c r="B17" s="5">
        <v>10</v>
      </c>
      <c r="C17" s="5">
        <v>2</v>
      </c>
      <c r="D17" s="5">
        <v>2.5</v>
      </c>
      <c r="E17" s="5">
        <v>3</v>
      </c>
      <c r="F17" s="5">
        <v>41</v>
      </c>
      <c r="G17" s="5"/>
      <c r="H17" s="5"/>
      <c r="I17" s="5">
        <v>0.27</v>
      </c>
      <c r="J17" s="5">
        <v>0</v>
      </c>
      <c r="K17" s="36" t="e">
        <f>(($G$21-G17)/$G$21)*100</f>
        <v>#DIV/0!</v>
      </c>
    </row>
    <row r="18" spans="1:11" x14ac:dyDescent="0.3">
      <c r="A18" s="6">
        <v>2</v>
      </c>
      <c r="B18" s="5">
        <v>11</v>
      </c>
      <c r="C18" s="6">
        <v>9</v>
      </c>
      <c r="D18" s="6">
        <v>3</v>
      </c>
      <c r="E18" s="6">
        <v>3.5</v>
      </c>
      <c r="F18" s="6">
        <v>61</v>
      </c>
      <c r="G18" s="6"/>
      <c r="H18" s="6"/>
      <c r="I18" s="6">
        <v>0.28000000000000003</v>
      </c>
      <c r="J18" s="6">
        <v>0</v>
      </c>
      <c r="K18" s="34" t="e">
        <f t="shared" ref="K18:K25" si="1">(($G$21-G18)/$G$21)*100</f>
        <v>#DIV/0!</v>
      </c>
    </row>
    <row r="19" spans="1:11" x14ac:dyDescent="0.3">
      <c r="A19" s="6">
        <v>2</v>
      </c>
      <c r="B19" s="5">
        <v>12</v>
      </c>
      <c r="C19" s="6">
        <v>8</v>
      </c>
      <c r="D19" s="6">
        <v>2.5</v>
      </c>
      <c r="E19" s="7">
        <v>3.5</v>
      </c>
      <c r="F19" s="6">
        <v>28</v>
      </c>
      <c r="G19" s="6"/>
      <c r="H19" s="6"/>
      <c r="I19" s="6">
        <v>0.27</v>
      </c>
      <c r="J19" s="6">
        <v>0</v>
      </c>
      <c r="K19" s="34" t="e">
        <f t="shared" si="1"/>
        <v>#DIV/0!</v>
      </c>
    </row>
    <row r="20" spans="1:11" x14ac:dyDescent="0.3">
      <c r="A20" s="6">
        <v>2</v>
      </c>
      <c r="B20" s="5">
        <v>13</v>
      </c>
      <c r="C20" s="6">
        <v>3</v>
      </c>
      <c r="D20" s="6">
        <v>2</v>
      </c>
      <c r="E20" s="6">
        <v>3</v>
      </c>
      <c r="F20" s="6">
        <v>29</v>
      </c>
      <c r="G20" s="6"/>
      <c r="H20" s="6"/>
      <c r="I20" s="6">
        <v>0.28999999999999998</v>
      </c>
      <c r="J20" s="6">
        <v>0</v>
      </c>
      <c r="K20" s="34" t="e">
        <f t="shared" si="1"/>
        <v>#DIV/0!</v>
      </c>
    </row>
    <row r="21" spans="1:11" x14ac:dyDescent="0.3">
      <c r="A21" s="6">
        <v>2</v>
      </c>
      <c r="B21" s="5">
        <v>14</v>
      </c>
      <c r="C21" s="6">
        <v>1</v>
      </c>
      <c r="D21" s="6">
        <v>1.5</v>
      </c>
      <c r="E21" s="6">
        <v>2.5</v>
      </c>
      <c r="F21" s="6">
        <v>17</v>
      </c>
      <c r="G21" s="6"/>
      <c r="H21" s="6"/>
      <c r="I21" s="6">
        <v>0.28000000000000003</v>
      </c>
      <c r="J21" s="6">
        <v>0</v>
      </c>
      <c r="K21" s="34" t="e">
        <f t="shared" si="1"/>
        <v>#DIV/0!</v>
      </c>
    </row>
    <row r="22" spans="1:11" x14ac:dyDescent="0.3">
      <c r="A22" s="6">
        <v>2</v>
      </c>
      <c r="B22" s="5">
        <v>15</v>
      </c>
      <c r="C22" s="6">
        <v>7</v>
      </c>
      <c r="D22" s="6">
        <v>1.5</v>
      </c>
      <c r="E22" s="6">
        <v>1.5</v>
      </c>
      <c r="F22" s="6">
        <v>14</v>
      </c>
      <c r="G22" s="6"/>
      <c r="H22" s="6"/>
      <c r="I22" s="7">
        <v>0.21</v>
      </c>
      <c r="J22" s="6">
        <v>0</v>
      </c>
      <c r="K22" s="34" t="e">
        <f t="shared" si="1"/>
        <v>#DIV/0!</v>
      </c>
    </row>
    <row r="23" spans="1:11" x14ac:dyDescent="0.3">
      <c r="A23" s="6">
        <v>2</v>
      </c>
      <c r="B23" s="5">
        <v>16</v>
      </c>
      <c r="C23" s="6">
        <v>5</v>
      </c>
      <c r="D23" s="6">
        <v>1</v>
      </c>
      <c r="E23" s="6">
        <v>1</v>
      </c>
      <c r="F23" s="6">
        <v>15</v>
      </c>
      <c r="G23" s="6"/>
      <c r="H23" s="6"/>
      <c r="I23" s="6">
        <v>0.21</v>
      </c>
      <c r="J23" s="6">
        <v>0</v>
      </c>
      <c r="K23" s="34" t="e">
        <f t="shared" si="1"/>
        <v>#DIV/0!</v>
      </c>
    </row>
    <row r="24" spans="1:11" x14ac:dyDescent="0.3">
      <c r="A24" s="6">
        <v>2</v>
      </c>
      <c r="B24" s="5">
        <v>17</v>
      </c>
      <c r="C24" s="6">
        <v>4</v>
      </c>
      <c r="D24" s="6">
        <v>2.5</v>
      </c>
      <c r="E24" s="6">
        <v>3.5</v>
      </c>
      <c r="F24" s="6">
        <v>29</v>
      </c>
      <c r="G24" s="6"/>
      <c r="H24" s="6"/>
      <c r="I24" s="6">
        <v>0.28000000000000003</v>
      </c>
      <c r="J24" s="6">
        <v>0</v>
      </c>
      <c r="K24" s="34" t="e">
        <f t="shared" si="1"/>
        <v>#DIV/0!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>
        <v>2</v>
      </c>
      <c r="E25" s="10">
        <v>3</v>
      </c>
      <c r="F25" s="10">
        <v>35</v>
      </c>
      <c r="G25" s="10"/>
      <c r="H25" s="10"/>
      <c r="I25" s="10">
        <v>0.3</v>
      </c>
      <c r="J25" s="10">
        <v>0</v>
      </c>
      <c r="K25" s="38" t="e">
        <f t="shared" si="1"/>
        <v>#DIV/0!</v>
      </c>
    </row>
    <row r="26" spans="1:11" x14ac:dyDescent="0.3">
      <c r="A26" s="5">
        <v>3</v>
      </c>
      <c r="B26" s="5">
        <v>19</v>
      </c>
      <c r="C26" s="5">
        <v>7</v>
      </c>
      <c r="D26" s="5">
        <v>2</v>
      </c>
      <c r="E26" s="5">
        <v>3</v>
      </c>
      <c r="F26" s="5">
        <v>38</v>
      </c>
      <c r="G26" s="5"/>
      <c r="H26" s="5"/>
      <c r="I26" s="5">
        <v>0.23</v>
      </c>
      <c r="J26" s="5">
        <v>0</v>
      </c>
      <c r="K26" s="36" t="e">
        <f>(($G$31-G26)/$G$31)*100</f>
        <v>#DIV/0!</v>
      </c>
    </row>
    <row r="27" spans="1:11" x14ac:dyDescent="0.3">
      <c r="A27" s="6">
        <v>3</v>
      </c>
      <c r="B27" s="5">
        <v>20</v>
      </c>
      <c r="C27" s="6">
        <v>3</v>
      </c>
      <c r="D27" s="6">
        <v>3</v>
      </c>
      <c r="E27" s="6">
        <v>4</v>
      </c>
      <c r="F27" s="6">
        <v>57</v>
      </c>
      <c r="G27" s="6"/>
      <c r="H27" s="6"/>
      <c r="I27" s="6">
        <v>0.35</v>
      </c>
      <c r="J27" s="6">
        <v>0</v>
      </c>
      <c r="K27" s="34" t="e">
        <f t="shared" ref="K27:K34" si="2">(($G$31-G27)/$G$31)*100</f>
        <v>#DIV/0!</v>
      </c>
    </row>
    <row r="28" spans="1:11" x14ac:dyDescent="0.3">
      <c r="A28" s="6">
        <v>3</v>
      </c>
      <c r="B28" s="5">
        <v>21</v>
      </c>
      <c r="C28" s="6">
        <v>9</v>
      </c>
      <c r="D28" s="6">
        <v>3.5</v>
      </c>
      <c r="E28" s="6">
        <v>4.5</v>
      </c>
      <c r="F28" s="6">
        <v>64</v>
      </c>
      <c r="G28" s="6"/>
      <c r="H28" s="6"/>
      <c r="I28" s="6">
        <v>0.38</v>
      </c>
      <c r="J28" s="6">
        <v>0</v>
      </c>
      <c r="K28" s="34" t="e">
        <f t="shared" si="2"/>
        <v>#DIV/0!</v>
      </c>
    </row>
    <row r="29" spans="1:11" x14ac:dyDescent="0.3">
      <c r="A29" s="6">
        <v>3</v>
      </c>
      <c r="B29" s="5">
        <v>22</v>
      </c>
      <c r="C29" s="6">
        <v>4</v>
      </c>
      <c r="D29" s="6">
        <v>2</v>
      </c>
      <c r="E29" s="6">
        <v>3.5</v>
      </c>
      <c r="F29" s="6">
        <v>26</v>
      </c>
      <c r="G29" s="7"/>
      <c r="H29" s="6"/>
      <c r="I29" s="6">
        <v>0.28999999999999998</v>
      </c>
      <c r="J29" s="6">
        <v>0</v>
      </c>
      <c r="K29" s="34" t="e">
        <f t="shared" si="2"/>
        <v>#DIV/0!</v>
      </c>
    </row>
    <row r="30" spans="1:11" x14ac:dyDescent="0.3">
      <c r="A30" s="6">
        <v>3</v>
      </c>
      <c r="B30" s="5">
        <v>23</v>
      </c>
      <c r="C30" s="6">
        <v>8</v>
      </c>
      <c r="D30" s="6">
        <v>1</v>
      </c>
      <c r="E30" s="6">
        <v>1.5</v>
      </c>
      <c r="F30" s="6">
        <v>14</v>
      </c>
      <c r="G30" s="6"/>
      <c r="H30" s="6"/>
      <c r="I30" s="6">
        <v>0.22</v>
      </c>
      <c r="J30" s="6">
        <v>0</v>
      </c>
      <c r="K30" s="34" t="e">
        <f t="shared" si="2"/>
        <v>#DIV/0!</v>
      </c>
    </row>
    <row r="31" spans="1:11" x14ac:dyDescent="0.3">
      <c r="A31" s="6">
        <v>3</v>
      </c>
      <c r="B31" s="5">
        <v>24</v>
      </c>
      <c r="C31" s="6">
        <v>1</v>
      </c>
      <c r="D31" s="6">
        <v>1</v>
      </c>
      <c r="E31" s="6">
        <v>1.5</v>
      </c>
      <c r="F31" s="6">
        <v>18</v>
      </c>
      <c r="G31" s="6"/>
      <c r="H31" s="6"/>
      <c r="I31" s="6">
        <v>0.17</v>
      </c>
      <c r="J31" s="6">
        <v>0</v>
      </c>
      <c r="K31" s="34" t="e">
        <f t="shared" si="2"/>
        <v>#DIV/0!</v>
      </c>
    </row>
    <row r="32" spans="1:11" x14ac:dyDescent="0.3">
      <c r="A32" s="6">
        <v>3</v>
      </c>
      <c r="B32" s="5">
        <v>25</v>
      </c>
      <c r="C32" s="6">
        <v>6</v>
      </c>
      <c r="D32" s="6">
        <v>1</v>
      </c>
      <c r="E32" s="6">
        <v>1</v>
      </c>
      <c r="F32" s="6">
        <v>12</v>
      </c>
      <c r="G32" s="6"/>
      <c r="H32" s="6"/>
      <c r="I32" s="6">
        <v>0.21</v>
      </c>
      <c r="J32" s="6">
        <v>0</v>
      </c>
      <c r="K32" s="34" t="e">
        <f t="shared" si="2"/>
        <v>#DIV/0!</v>
      </c>
    </row>
    <row r="33" spans="1:11" x14ac:dyDescent="0.3">
      <c r="A33" s="6">
        <v>3</v>
      </c>
      <c r="B33" s="5">
        <v>26</v>
      </c>
      <c r="C33" s="6">
        <v>2</v>
      </c>
      <c r="D33" s="6">
        <v>2</v>
      </c>
      <c r="E33" s="6">
        <v>3</v>
      </c>
      <c r="F33" s="6">
        <v>40</v>
      </c>
      <c r="G33" s="6"/>
      <c r="H33" s="6"/>
      <c r="I33" s="6">
        <v>0.31</v>
      </c>
      <c r="J33" s="6">
        <v>0</v>
      </c>
      <c r="K33" s="34" t="e">
        <f t="shared" si="2"/>
        <v>#DIV/0!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>
        <v>2</v>
      </c>
      <c r="E34" s="10">
        <v>2.5</v>
      </c>
      <c r="F34" s="10">
        <v>32</v>
      </c>
      <c r="G34" s="10"/>
      <c r="H34" s="10"/>
      <c r="I34" s="10">
        <v>0.25</v>
      </c>
      <c r="J34" s="10">
        <v>0</v>
      </c>
      <c r="K34" s="38" t="e">
        <f t="shared" si="2"/>
        <v>#DIV/0!</v>
      </c>
    </row>
    <row r="35" spans="1:11" x14ac:dyDescent="0.3">
      <c r="A35" s="5">
        <v>4</v>
      </c>
      <c r="B35" s="5">
        <v>28</v>
      </c>
      <c r="C35" s="9">
        <v>7</v>
      </c>
      <c r="D35" s="5">
        <v>2</v>
      </c>
      <c r="E35" s="5">
        <v>3</v>
      </c>
      <c r="F35" s="5">
        <v>48</v>
      </c>
      <c r="G35" s="5"/>
      <c r="H35" s="5"/>
      <c r="I35" s="5">
        <v>0.28000000000000003</v>
      </c>
      <c r="J35" s="5">
        <v>0</v>
      </c>
      <c r="K35" s="36" t="e">
        <f>(($G$42-G35)/$G$42)*100</f>
        <v>#DIV/0!</v>
      </c>
    </row>
    <row r="36" spans="1:11" x14ac:dyDescent="0.3">
      <c r="A36" s="6">
        <v>4</v>
      </c>
      <c r="B36" s="5">
        <v>29</v>
      </c>
      <c r="C36" s="6">
        <v>3</v>
      </c>
      <c r="D36" s="6">
        <v>2</v>
      </c>
      <c r="E36" s="6">
        <v>3</v>
      </c>
      <c r="F36" s="6">
        <v>45</v>
      </c>
      <c r="G36" s="6"/>
      <c r="H36" s="6"/>
      <c r="I36" s="6">
        <v>0.27</v>
      </c>
      <c r="J36" s="6">
        <v>0</v>
      </c>
      <c r="K36" s="34" t="e">
        <f t="shared" ref="K36:K43" si="3">(($G$42-G36)/$G$42)*100</f>
        <v>#DIV/0!</v>
      </c>
    </row>
    <row r="37" spans="1:11" x14ac:dyDescent="0.3">
      <c r="A37" s="6">
        <v>4</v>
      </c>
      <c r="B37" s="5">
        <v>30</v>
      </c>
      <c r="C37" s="6">
        <v>4</v>
      </c>
      <c r="D37" s="6">
        <v>2</v>
      </c>
      <c r="E37" s="6">
        <v>3.5</v>
      </c>
      <c r="F37" s="6">
        <v>49</v>
      </c>
      <c r="G37" s="6"/>
      <c r="H37" s="6"/>
      <c r="I37" s="6">
        <v>0.3</v>
      </c>
      <c r="J37" s="6">
        <v>0</v>
      </c>
      <c r="K37" s="34" t="e">
        <f t="shared" si="3"/>
        <v>#DIV/0!</v>
      </c>
    </row>
    <row r="38" spans="1:11" x14ac:dyDescent="0.3">
      <c r="A38" s="6">
        <v>4</v>
      </c>
      <c r="B38" s="5">
        <v>31</v>
      </c>
      <c r="C38" s="6">
        <v>6</v>
      </c>
      <c r="D38" s="6">
        <v>1.5</v>
      </c>
      <c r="E38" s="6">
        <v>1.5</v>
      </c>
      <c r="F38" s="6">
        <v>26</v>
      </c>
      <c r="G38" s="6"/>
      <c r="H38" s="6"/>
      <c r="I38" s="6">
        <v>0.2</v>
      </c>
      <c r="J38" s="6">
        <v>0</v>
      </c>
      <c r="K38" s="34" t="e">
        <f t="shared" si="3"/>
        <v>#DIV/0!</v>
      </c>
    </row>
    <row r="39" spans="1:11" x14ac:dyDescent="0.3">
      <c r="A39" s="6">
        <v>4</v>
      </c>
      <c r="B39" s="5">
        <v>32</v>
      </c>
      <c r="C39" s="6">
        <v>5</v>
      </c>
      <c r="D39" s="6">
        <v>1.5</v>
      </c>
      <c r="E39" s="6">
        <v>1.5</v>
      </c>
      <c r="F39" s="6">
        <v>20</v>
      </c>
      <c r="G39" s="6"/>
      <c r="H39" s="6"/>
      <c r="I39" s="6">
        <v>0.21</v>
      </c>
      <c r="J39" s="6">
        <v>0</v>
      </c>
      <c r="K39" s="34" t="e">
        <f t="shared" si="3"/>
        <v>#DIV/0!</v>
      </c>
    </row>
    <row r="40" spans="1:11" x14ac:dyDescent="0.3">
      <c r="A40" s="6">
        <v>4</v>
      </c>
      <c r="B40" s="5">
        <v>33</v>
      </c>
      <c r="C40" s="6">
        <v>9</v>
      </c>
      <c r="D40" s="6">
        <v>2.5</v>
      </c>
      <c r="E40" s="6">
        <v>3.5</v>
      </c>
      <c r="F40" s="6">
        <v>52</v>
      </c>
      <c r="G40" s="6"/>
      <c r="H40" s="6"/>
      <c r="I40" s="6">
        <v>0.3</v>
      </c>
      <c r="J40" s="6">
        <v>0</v>
      </c>
      <c r="K40" s="34" t="e">
        <f t="shared" si="3"/>
        <v>#DIV/0!</v>
      </c>
    </row>
    <row r="41" spans="1:11" x14ac:dyDescent="0.3">
      <c r="A41" s="6">
        <v>4</v>
      </c>
      <c r="B41" s="5">
        <v>34</v>
      </c>
      <c r="C41" s="6">
        <v>2</v>
      </c>
      <c r="D41" s="6">
        <v>2</v>
      </c>
      <c r="E41" s="6">
        <v>3</v>
      </c>
      <c r="F41" s="6">
        <v>22</v>
      </c>
      <c r="G41" s="6"/>
      <c r="H41" s="6"/>
      <c r="I41" s="6">
        <v>0.26</v>
      </c>
      <c r="J41" s="6">
        <v>0</v>
      </c>
      <c r="K41" s="34" t="e">
        <f t="shared" si="3"/>
        <v>#DIV/0!</v>
      </c>
    </row>
    <row r="42" spans="1:11" x14ac:dyDescent="0.3">
      <c r="A42" s="6">
        <v>4</v>
      </c>
      <c r="B42" s="5">
        <v>35</v>
      </c>
      <c r="C42" s="6">
        <v>1</v>
      </c>
      <c r="D42" s="6">
        <v>2</v>
      </c>
      <c r="E42" s="6">
        <v>3</v>
      </c>
      <c r="F42" s="6">
        <v>25</v>
      </c>
      <c r="G42" s="6"/>
      <c r="H42" s="6"/>
      <c r="I42" s="6">
        <v>0.27</v>
      </c>
      <c r="J42" s="6">
        <v>0</v>
      </c>
      <c r="K42" s="34" t="e">
        <f t="shared" si="3"/>
        <v>#DIV/0!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>
        <v>2</v>
      </c>
      <c r="E43" s="11">
        <v>2.5</v>
      </c>
      <c r="F43" s="11">
        <v>38</v>
      </c>
      <c r="G43" s="11"/>
      <c r="H43" s="11"/>
      <c r="I43" s="11">
        <v>0.26</v>
      </c>
      <c r="J43" s="12">
        <v>0</v>
      </c>
      <c r="K43" s="38" t="e">
        <f t="shared" si="3"/>
        <v>#DIV/0!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3"/>
  <sheetViews>
    <sheetView workbookViewId="0">
      <selection activeCell="K6" sqref="K6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50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  <c r="B5" t="s">
        <v>48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>
        <v>3.5</v>
      </c>
      <c r="E8" s="6">
        <v>4.5</v>
      </c>
      <c r="F8" s="6">
        <v>64</v>
      </c>
      <c r="G8" s="6"/>
      <c r="H8" s="6"/>
      <c r="I8" s="6">
        <v>0.49</v>
      </c>
      <c r="J8" s="6">
        <v>0</v>
      </c>
      <c r="K8" s="36" t="e">
        <f>(($G$16-G8)/$G$16)*100</f>
        <v>#DIV/0!</v>
      </c>
    </row>
    <row r="9" spans="1:11" x14ac:dyDescent="0.3">
      <c r="A9" s="6">
        <v>1</v>
      </c>
      <c r="B9" s="5">
        <v>2</v>
      </c>
      <c r="C9" s="6">
        <v>5</v>
      </c>
      <c r="D9" s="6">
        <v>2</v>
      </c>
      <c r="E9" s="6">
        <v>2.5</v>
      </c>
      <c r="F9" s="6">
        <v>22</v>
      </c>
      <c r="G9" s="6"/>
      <c r="H9" s="6"/>
      <c r="I9" s="6">
        <v>0.31</v>
      </c>
      <c r="J9" s="6">
        <v>0</v>
      </c>
      <c r="K9" s="34" t="e">
        <f t="shared" ref="K9:K16" si="0">(($G$16-G9)/$G$16)*100</f>
        <v>#DIV/0!</v>
      </c>
    </row>
    <row r="10" spans="1:11" x14ac:dyDescent="0.3">
      <c r="A10" s="6">
        <v>1</v>
      </c>
      <c r="B10" s="5">
        <v>3</v>
      </c>
      <c r="C10" s="6">
        <v>4</v>
      </c>
      <c r="D10" s="6">
        <v>2.5</v>
      </c>
      <c r="E10" s="6">
        <v>3</v>
      </c>
      <c r="F10" s="6">
        <v>26</v>
      </c>
      <c r="G10" s="6"/>
      <c r="H10" s="6"/>
      <c r="I10" s="6">
        <v>0.37</v>
      </c>
      <c r="J10" s="6">
        <v>0</v>
      </c>
      <c r="K10" s="34" t="e">
        <f t="shared" si="0"/>
        <v>#DIV/0!</v>
      </c>
    </row>
    <row r="11" spans="1:11" x14ac:dyDescent="0.3">
      <c r="A11" s="6">
        <v>1</v>
      </c>
      <c r="B11" s="5">
        <v>4</v>
      </c>
      <c r="C11" s="6">
        <v>7</v>
      </c>
      <c r="D11" s="6">
        <v>1.5</v>
      </c>
      <c r="E11" s="6">
        <v>2</v>
      </c>
      <c r="F11" s="6">
        <v>18</v>
      </c>
      <c r="G11" s="6"/>
      <c r="H11" s="6"/>
      <c r="I11" s="6">
        <v>0.3</v>
      </c>
      <c r="J11" s="6">
        <v>0</v>
      </c>
      <c r="K11" s="34" t="e">
        <f t="shared" si="0"/>
        <v>#DIV/0!</v>
      </c>
    </row>
    <row r="12" spans="1:11" x14ac:dyDescent="0.3">
      <c r="A12" s="6">
        <v>1</v>
      </c>
      <c r="B12" s="5">
        <v>5</v>
      </c>
      <c r="C12" s="6">
        <v>2</v>
      </c>
      <c r="D12" s="6">
        <v>2</v>
      </c>
      <c r="E12" s="6">
        <v>3</v>
      </c>
      <c r="F12" s="6">
        <v>25</v>
      </c>
      <c r="G12" s="6"/>
      <c r="H12" s="6"/>
      <c r="I12" s="6">
        <v>0.34</v>
      </c>
      <c r="J12" s="6">
        <v>0</v>
      </c>
      <c r="K12" s="34" t="e">
        <f t="shared" si="0"/>
        <v>#DIV/0!</v>
      </c>
    </row>
    <row r="13" spans="1:11" x14ac:dyDescent="0.3">
      <c r="A13" s="6">
        <v>1</v>
      </c>
      <c r="B13" s="5">
        <v>6</v>
      </c>
      <c r="C13" s="6">
        <v>6</v>
      </c>
      <c r="D13" s="6">
        <v>1.5</v>
      </c>
      <c r="E13" s="6">
        <v>1.5</v>
      </c>
      <c r="F13" s="6">
        <v>10</v>
      </c>
      <c r="G13" s="6"/>
      <c r="H13" s="6"/>
      <c r="I13" s="6">
        <v>0.28999999999999998</v>
      </c>
      <c r="J13" s="6">
        <v>0</v>
      </c>
      <c r="K13" s="34" t="e">
        <f t="shared" si="0"/>
        <v>#DIV/0!</v>
      </c>
    </row>
    <row r="14" spans="1:11" x14ac:dyDescent="0.3">
      <c r="A14" s="6">
        <v>1</v>
      </c>
      <c r="B14" s="5">
        <v>7</v>
      </c>
      <c r="C14" s="6">
        <v>8</v>
      </c>
      <c r="D14" s="6">
        <v>1.5</v>
      </c>
      <c r="E14" s="6">
        <v>1.5</v>
      </c>
      <c r="F14" s="6">
        <v>15</v>
      </c>
      <c r="G14" s="6"/>
      <c r="H14" s="6"/>
      <c r="I14" s="6">
        <v>0.24</v>
      </c>
      <c r="J14" s="6">
        <v>0</v>
      </c>
      <c r="K14" s="34" t="e">
        <f t="shared" si="0"/>
        <v>#DIV/0!</v>
      </c>
    </row>
    <row r="15" spans="1:11" x14ac:dyDescent="0.3">
      <c r="A15" s="6">
        <v>1</v>
      </c>
      <c r="B15" s="5">
        <v>8</v>
      </c>
      <c r="C15" s="6">
        <v>3</v>
      </c>
      <c r="D15" s="6">
        <v>2</v>
      </c>
      <c r="E15" s="6">
        <v>2</v>
      </c>
      <c r="F15" s="6">
        <v>24</v>
      </c>
      <c r="G15" s="6"/>
      <c r="H15" s="6"/>
      <c r="I15" s="6">
        <v>0.26</v>
      </c>
      <c r="J15" s="6">
        <v>0</v>
      </c>
      <c r="K15" s="34" t="e">
        <f t="shared" si="0"/>
        <v>#DIV/0!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>
        <v>2.5</v>
      </c>
      <c r="E16" s="10">
        <v>3</v>
      </c>
      <c r="F16" s="10">
        <v>27</v>
      </c>
      <c r="G16" s="10"/>
      <c r="H16" s="10"/>
      <c r="I16" s="10">
        <v>0.26</v>
      </c>
      <c r="J16" s="10">
        <v>0</v>
      </c>
      <c r="K16" s="38" t="e">
        <f t="shared" si="0"/>
        <v>#DIV/0!</v>
      </c>
    </row>
    <row r="17" spans="1:11" x14ac:dyDescent="0.3">
      <c r="A17" s="5">
        <v>2</v>
      </c>
      <c r="B17" s="5">
        <v>10</v>
      </c>
      <c r="C17" s="5">
        <v>2</v>
      </c>
      <c r="D17" s="5">
        <v>2.5</v>
      </c>
      <c r="E17" s="5">
        <v>3.5</v>
      </c>
      <c r="F17" s="5">
        <v>46</v>
      </c>
      <c r="G17" s="5"/>
      <c r="H17" s="5"/>
      <c r="I17" s="5">
        <v>0.37</v>
      </c>
      <c r="J17" s="5">
        <v>0</v>
      </c>
      <c r="K17" s="36" t="e">
        <f>(($G$21-G17)/$G$21)*100</f>
        <v>#DIV/0!</v>
      </c>
    </row>
    <row r="18" spans="1:11" x14ac:dyDescent="0.3">
      <c r="A18" s="6">
        <v>2</v>
      </c>
      <c r="B18" s="5">
        <v>11</v>
      </c>
      <c r="C18" s="6">
        <v>9</v>
      </c>
      <c r="D18" s="6">
        <v>4</v>
      </c>
      <c r="E18" s="6">
        <v>4.5</v>
      </c>
      <c r="F18" s="6">
        <v>66</v>
      </c>
      <c r="G18" s="6"/>
      <c r="H18" s="6"/>
      <c r="I18" s="6">
        <v>0.47</v>
      </c>
      <c r="J18" s="6">
        <v>0</v>
      </c>
      <c r="K18" s="34" t="e">
        <f t="shared" ref="K18:K25" si="1">(($G$21-G18)/$G$21)*100</f>
        <v>#DIV/0!</v>
      </c>
    </row>
    <row r="19" spans="1:11" x14ac:dyDescent="0.3">
      <c r="A19" s="6">
        <v>2</v>
      </c>
      <c r="B19" s="5">
        <v>12</v>
      </c>
      <c r="C19" s="6">
        <v>8</v>
      </c>
      <c r="D19" s="6">
        <v>2.5</v>
      </c>
      <c r="E19" s="7">
        <v>3</v>
      </c>
      <c r="F19" s="6">
        <v>41</v>
      </c>
      <c r="G19" s="6"/>
      <c r="H19" s="6"/>
      <c r="I19" s="6">
        <v>0.34</v>
      </c>
      <c r="J19" s="6">
        <v>0</v>
      </c>
      <c r="K19" s="34" t="e">
        <f t="shared" si="1"/>
        <v>#DIV/0!</v>
      </c>
    </row>
    <row r="20" spans="1:11" x14ac:dyDescent="0.3">
      <c r="A20" s="6">
        <v>2</v>
      </c>
      <c r="B20" s="5">
        <v>13</v>
      </c>
      <c r="C20" s="6">
        <v>3</v>
      </c>
      <c r="D20" s="6">
        <v>2.5</v>
      </c>
      <c r="E20" s="6">
        <v>3</v>
      </c>
      <c r="F20" s="6">
        <v>34</v>
      </c>
      <c r="G20" s="6"/>
      <c r="H20" s="6"/>
      <c r="I20" s="6">
        <v>0.35</v>
      </c>
      <c r="J20" s="6">
        <v>0</v>
      </c>
      <c r="K20" s="34" t="e">
        <f t="shared" si="1"/>
        <v>#DIV/0!</v>
      </c>
    </row>
    <row r="21" spans="1:11" x14ac:dyDescent="0.3">
      <c r="A21" s="6">
        <v>2</v>
      </c>
      <c r="B21" s="5">
        <v>14</v>
      </c>
      <c r="C21" s="6">
        <v>1</v>
      </c>
      <c r="D21" s="6">
        <v>1.5</v>
      </c>
      <c r="E21" s="6">
        <v>1.5</v>
      </c>
      <c r="F21" s="6">
        <v>16</v>
      </c>
      <c r="G21" s="6"/>
      <c r="H21" s="6"/>
      <c r="I21" s="6">
        <v>0.33</v>
      </c>
      <c r="J21" s="6">
        <v>0</v>
      </c>
      <c r="K21" s="34" t="e">
        <f t="shared" si="1"/>
        <v>#DIV/0!</v>
      </c>
    </row>
    <row r="22" spans="1:11" x14ac:dyDescent="0.3">
      <c r="A22" s="6">
        <v>2</v>
      </c>
      <c r="B22" s="5">
        <v>15</v>
      </c>
      <c r="C22" s="6">
        <v>7</v>
      </c>
      <c r="D22" s="6">
        <v>1.5</v>
      </c>
      <c r="E22" s="6">
        <v>1.5</v>
      </c>
      <c r="F22" s="6">
        <v>14</v>
      </c>
      <c r="G22" s="6"/>
      <c r="H22" s="6"/>
      <c r="I22" s="7">
        <v>0.26</v>
      </c>
      <c r="J22" s="6">
        <v>0</v>
      </c>
      <c r="K22" s="34" t="e">
        <f t="shared" si="1"/>
        <v>#DIV/0!</v>
      </c>
    </row>
    <row r="23" spans="1:11" x14ac:dyDescent="0.3">
      <c r="A23" s="6">
        <v>2</v>
      </c>
      <c r="B23" s="5">
        <v>16</v>
      </c>
      <c r="C23" s="6">
        <v>5</v>
      </c>
      <c r="D23" s="6">
        <v>1.5</v>
      </c>
      <c r="E23" s="6">
        <v>1.5</v>
      </c>
      <c r="F23" s="6">
        <v>18</v>
      </c>
      <c r="G23" s="6"/>
      <c r="H23" s="6"/>
      <c r="I23" s="6">
        <v>0.28000000000000003</v>
      </c>
      <c r="J23" s="6">
        <v>0</v>
      </c>
      <c r="K23" s="34" t="e">
        <f t="shared" si="1"/>
        <v>#DIV/0!</v>
      </c>
    </row>
    <row r="24" spans="1:11" x14ac:dyDescent="0.3">
      <c r="A24" s="6">
        <v>2</v>
      </c>
      <c r="B24" s="5">
        <v>17</v>
      </c>
      <c r="C24" s="6">
        <v>4</v>
      </c>
      <c r="D24" s="6">
        <v>2.5</v>
      </c>
      <c r="E24" s="6">
        <v>3.5</v>
      </c>
      <c r="F24" s="6">
        <v>35</v>
      </c>
      <c r="G24" s="6"/>
      <c r="H24" s="6"/>
      <c r="I24" s="6">
        <v>0.33</v>
      </c>
      <c r="J24" s="6">
        <v>0</v>
      </c>
      <c r="K24" s="34" t="e">
        <f t="shared" si="1"/>
        <v>#DIV/0!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>
        <v>2.5</v>
      </c>
      <c r="E25" s="10">
        <v>3.5</v>
      </c>
      <c r="F25" s="10">
        <v>34</v>
      </c>
      <c r="G25" s="10"/>
      <c r="H25" s="10"/>
      <c r="I25" s="10">
        <v>0.36</v>
      </c>
      <c r="J25" s="10">
        <v>0</v>
      </c>
      <c r="K25" s="38" t="e">
        <f t="shared" si="1"/>
        <v>#DIV/0!</v>
      </c>
    </row>
    <row r="26" spans="1:11" x14ac:dyDescent="0.3">
      <c r="A26" s="5">
        <v>3</v>
      </c>
      <c r="B26" s="5">
        <v>19</v>
      </c>
      <c r="C26" s="5">
        <v>7</v>
      </c>
      <c r="D26" s="5">
        <v>2.5</v>
      </c>
      <c r="E26" s="5">
        <v>3</v>
      </c>
      <c r="F26" s="5">
        <v>38</v>
      </c>
      <c r="G26" s="5"/>
      <c r="H26" s="5"/>
      <c r="I26" s="5">
        <v>0.35</v>
      </c>
      <c r="J26" s="5">
        <v>0</v>
      </c>
      <c r="K26" s="36" t="e">
        <f>(($G$31-G26)/$G$31)*100</f>
        <v>#DIV/0!</v>
      </c>
    </row>
    <row r="27" spans="1:11" x14ac:dyDescent="0.3">
      <c r="A27" s="6">
        <v>3</v>
      </c>
      <c r="B27" s="5">
        <v>20</v>
      </c>
      <c r="C27" s="6">
        <v>3</v>
      </c>
      <c r="D27" s="6">
        <v>3.5</v>
      </c>
      <c r="E27" s="6">
        <v>3.5</v>
      </c>
      <c r="F27" s="6">
        <v>62</v>
      </c>
      <c r="G27" s="6"/>
      <c r="H27" s="6"/>
      <c r="I27" s="6">
        <v>0.44</v>
      </c>
      <c r="J27" s="6">
        <v>0</v>
      </c>
      <c r="K27" s="34" t="e">
        <f t="shared" ref="K27:K34" si="2">(($G$31-G27)/$G$31)*100</f>
        <v>#DIV/0!</v>
      </c>
    </row>
    <row r="28" spans="1:11" x14ac:dyDescent="0.3">
      <c r="A28" s="6">
        <v>3</v>
      </c>
      <c r="B28" s="5">
        <v>21</v>
      </c>
      <c r="C28" s="6">
        <v>9</v>
      </c>
      <c r="D28" s="6">
        <v>3</v>
      </c>
      <c r="E28" s="6">
        <v>4</v>
      </c>
      <c r="F28" s="6">
        <v>65</v>
      </c>
      <c r="G28" s="6"/>
      <c r="H28" s="6"/>
      <c r="I28" s="6">
        <v>0.56000000000000005</v>
      </c>
      <c r="J28" s="6">
        <v>0</v>
      </c>
      <c r="K28" s="34" t="e">
        <f t="shared" si="2"/>
        <v>#DIV/0!</v>
      </c>
    </row>
    <row r="29" spans="1:11" x14ac:dyDescent="0.3">
      <c r="A29" s="6">
        <v>3</v>
      </c>
      <c r="B29" s="5">
        <v>22</v>
      </c>
      <c r="C29" s="6">
        <v>4</v>
      </c>
      <c r="D29" s="6">
        <v>2</v>
      </c>
      <c r="E29" s="6">
        <v>2</v>
      </c>
      <c r="F29" s="6">
        <v>22</v>
      </c>
      <c r="G29" s="7"/>
      <c r="H29" s="6"/>
      <c r="I29" s="6">
        <v>0.41</v>
      </c>
      <c r="J29" s="6">
        <v>0</v>
      </c>
      <c r="K29" s="34" t="e">
        <f t="shared" si="2"/>
        <v>#DIV/0!</v>
      </c>
    </row>
    <row r="30" spans="1:11" x14ac:dyDescent="0.3">
      <c r="A30" s="6">
        <v>3</v>
      </c>
      <c r="B30" s="5">
        <v>23</v>
      </c>
      <c r="C30" s="6">
        <v>8</v>
      </c>
      <c r="D30" s="6">
        <v>1</v>
      </c>
      <c r="E30" s="6">
        <v>1.5</v>
      </c>
      <c r="F30" s="6">
        <v>12</v>
      </c>
      <c r="G30" s="6"/>
      <c r="H30" s="6"/>
      <c r="I30" s="6">
        <v>0.26</v>
      </c>
      <c r="J30" s="6">
        <v>0</v>
      </c>
      <c r="K30" s="34" t="e">
        <f t="shared" si="2"/>
        <v>#DIV/0!</v>
      </c>
    </row>
    <row r="31" spans="1:11" x14ac:dyDescent="0.3">
      <c r="A31" s="6">
        <v>3</v>
      </c>
      <c r="B31" s="5">
        <v>24</v>
      </c>
      <c r="C31" s="6">
        <v>1</v>
      </c>
      <c r="D31" s="6">
        <v>2</v>
      </c>
      <c r="E31" s="6">
        <v>2</v>
      </c>
      <c r="F31" s="6">
        <v>18</v>
      </c>
      <c r="G31" s="6"/>
      <c r="H31" s="6"/>
      <c r="I31" s="6">
        <v>0.23</v>
      </c>
      <c r="J31" s="6">
        <v>0</v>
      </c>
      <c r="K31" s="34" t="e">
        <f t="shared" si="2"/>
        <v>#DIV/0!</v>
      </c>
    </row>
    <row r="32" spans="1:11" x14ac:dyDescent="0.3">
      <c r="A32" s="6">
        <v>3</v>
      </c>
      <c r="B32" s="5">
        <v>25</v>
      </c>
      <c r="C32" s="6">
        <v>6</v>
      </c>
      <c r="D32" s="6">
        <v>2</v>
      </c>
      <c r="E32" s="6">
        <v>2</v>
      </c>
      <c r="F32" s="6">
        <v>22</v>
      </c>
      <c r="G32" s="6"/>
      <c r="H32" s="6"/>
      <c r="I32" s="6">
        <v>0.27</v>
      </c>
      <c r="J32" s="6">
        <v>0</v>
      </c>
      <c r="K32" s="34" t="e">
        <f t="shared" si="2"/>
        <v>#DIV/0!</v>
      </c>
    </row>
    <row r="33" spans="1:11" x14ac:dyDescent="0.3">
      <c r="A33" s="6">
        <v>3</v>
      </c>
      <c r="B33" s="5">
        <v>26</v>
      </c>
      <c r="C33" s="6">
        <v>2</v>
      </c>
      <c r="D33" s="6">
        <v>2.5</v>
      </c>
      <c r="E33" s="6">
        <v>3.5</v>
      </c>
      <c r="F33" s="6">
        <v>44</v>
      </c>
      <c r="G33" s="6"/>
      <c r="H33" s="6"/>
      <c r="I33" s="6">
        <v>0.4</v>
      </c>
      <c r="J33" s="6">
        <v>0</v>
      </c>
      <c r="K33" s="34" t="e">
        <f t="shared" si="2"/>
        <v>#DIV/0!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>
        <v>2</v>
      </c>
      <c r="E34" s="10">
        <v>2.5</v>
      </c>
      <c r="F34" s="10">
        <v>35</v>
      </c>
      <c r="G34" s="10"/>
      <c r="H34" s="10"/>
      <c r="I34" s="10">
        <v>0.28000000000000003</v>
      </c>
      <c r="J34" s="10">
        <v>0</v>
      </c>
      <c r="K34" s="38" t="e">
        <f t="shared" si="2"/>
        <v>#DIV/0!</v>
      </c>
    </row>
    <row r="35" spans="1:11" x14ac:dyDescent="0.3">
      <c r="A35" s="5">
        <v>4</v>
      </c>
      <c r="B35" s="5">
        <v>28</v>
      </c>
      <c r="C35" s="9">
        <v>7</v>
      </c>
      <c r="D35" s="5">
        <v>2</v>
      </c>
      <c r="E35" s="5">
        <v>3</v>
      </c>
      <c r="F35" s="5">
        <v>39</v>
      </c>
      <c r="G35" s="5"/>
      <c r="H35" s="5"/>
      <c r="I35" s="5">
        <v>0.35</v>
      </c>
      <c r="J35" s="5">
        <v>0</v>
      </c>
      <c r="K35" s="36" t="e">
        <f>(($G$42-G35)/$G$42)*100</f>
        <v>#DIV/0!</v>
      </c>
    </row>
    <row r="36" spans="1:11" x14ac:dyDescent="0.3">
      <c r="A36" s="6">
        <v>4</v>
      </c>
      <c r="B36" s="5">
        <v>29</v>
      </c>
      <c r="C36" s="6">
        <v>3</v>
      </c>
      <c r="D36" s="6">
        <v>3</v>
      </c>
      <c r="E36" s="6">
        <v>4</v>
      </c>
      <c r="F36" s="6">
        <v>51</v>
      </c>
      <c r="G36" s="6"/>
      <c r="H36" s="6"/>
      <c r="I36" s="6">
        <v>0.35</v>
      </c>
      <c r="J36" s="6">
        <v>0</v>
      </c>
      <c r="K36" s="34" t="e">
        <f t="shared" ref="K36:K43" si="3">(($G$42-G36)/$G$42)*100</f>
        <v>#DIV/0!</v>
      </c>
    </row>
    <row r="37" spans="1:11" x14ac:dyDescent="0.3">
      <c r="A37" s="6">
        <v>4</v>
      </c>
      <c r="B37" s="5">
        <v>30</v>
      </c>
      <c r="C37" s="6">
        <v>4</v>
      </c>
      <c r="D37" s="6">
        <v>3</v>
      </c>
      <c r="E37" s="6">
        <v>4</v>
      </c>
      <c r="F37" s="6">
        <v>48</v>
      </c>
      <c r="G37" s="6"/>
      <c r="H37" s="6"/>
      <c r="I37" s="6">
        <v>0.42</v>
      </c>
      <c r="J37" s="6">
        <v>0</v>
      </c>
      <c r="K37" s="34" t="e">
        <f t="shared" si="3"/>
        <v>#DIV/0!</v>
      </c>
    </row>
    <row r="38" spans="1:11" x14ac:dyDescent="0.3">
      <c r="A38" s="6">
        <v>4</v>
      </c>
      <c r="B38" s="5">
        <v>31</v>
      </c>
      <c r="C38" s="6">
        <v>6</v>
      </c>
      <c r="D38" s="6">
        <v>2</v>
      </c>
      <c r="E38" s="6">
        <v>1.5</v>
      </c>
      <c r="F38" s="6">
        <v>18</v>
      </c>
      <c r="G38" s="6"/>
      <c r="H38" s="6"/>
      <c r="I38" s="6">
        <v>0.24</v>
      </c>
      <c r="J38" s="6">
        <v>0</v>
      </c>
      <c r="K38" s="34" t="e">
        <f t="shared" si="3"/>
        <v>#DIV/0!</v>
      </c>
    </row>
    <row r="39" spans="1:11" x14ac:dyDescent="0.3">
      <c r="A39" s="6">
        <v>4</v>
      </c>
      <c r="B39" s="5">
        <v>32</v>
      </c>
      <c r="C39" s="6">
        <v>5</v>
      </c>
      <c r="D39" s="6">
        <v>1.5</v>
      </c>
      <c r="E39" s="6">
        <v>2</v>
      </c>
      <c r="F39" s="6">
        <v>16</v>
      </c>
      <c r="G39" s="6"/>
      <c r="H39" s="6"/>
      <c r="I39" s="6">
        <v>0.25</v>
      </c>
      <c r="J39" s="6">
        <v>0</v>
      </c>
      <c r="K39" s="34" t="e">
        <f t="shared" si="3"/>
        <v>#DIV/0!</v>
      </c>
    </row>
    <row r="40" spans="1:11" x14ac:dyDescent="0.3">
      <c r="A40" s="6">
        <v>4</v>
      </c>
      <c r="B40" s="5">
        <v>33</v>
      </c>
      <c r="C40" s="6">
        <v>9</v>
      </c>
      <c r="D40" s="6">
        <v>3</v>
      </c>
      <c r="E40" s="6">
        <v>4</v>
      </c>
      <c r="F40" s="6">
        <v>55</v>
      </c>
      <c r="G40" s="6"/>
      <c r="H40" s="6"/>
      <c r="I40" s="6">
        <v>0.45</v>
      </c>
      <c r="J40" s="6">
        <v>0</v>
      </c>
      <c r="K40" s="34" t="e">
        <f t="shared" si="3"/>
        <v>#DIV/0!</v>
      </c>
    </row>
    <row r="41" spans="1:11" x14ac:dyDescent="0.3">
      <c r="A41" s="6">
        <v>4</v>
      </c>
      <c r="B41" s="5">
        <v>34</v>
      </c>
      <c r="C41" s="6">
        <v>2</v>
      </c>
      <c r="D41" s="6">
        <v>2</v>
      </c>
      <c r="E41" s="6">
        <v>2.5</v>
      </c>
      <c r="F41" s="6">
        <v>23</v>
      </c>
      <c r="G41" s="6"/>
      <c r="H41" s="6"/>
      <c r="I41" s="6">
        <v>0.32</v>
      </c>
      <c r="J41" s="6">
        <v>0</v>
      </c>
      <c r="K41" s="34" t="e">
        <f t="shared" si="3"/>
        <v>#DIV/0!</v>
      </c>
    </row>
    <row r="42" spans="1:11" x14ac:dyDescent="0.3">
      <c r="A42" s="6">
        <v>4</v>
      </c>
      <c r="B42" s="5">
        <v>35</v>
      </c>
      <c r="C42" s="6">
        <v>1</v>
      </c>
      <c r="D42" s="6">
        <v>2</v>
      </c>
      <c r="E42" s="6">
        <v>2</v>
      </c>
      <c r="F42" s="6">
        <v>26</v>
      </c>
      <c r="G42" s="6"/>
      <c r="H42" s="6"/>
      <c r="I42" s="6">
        <v>0.31</v>
      </c>
      <c r="J42" s="6">
        <v>0</v>
      </c>
      <c r="K42" s="34" t="e">
        <f t="shared" si="3"/>
        <v>#DIV/0!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>
        <v>2.5</v>
      </c>
      <c r="E43" s="11">
        <v>3</v>
      </c>
      <c r="F43" s="11">
        <v>43</v>
      </c>
      <c r="G43" s="11"/>
      <c r="H43" s="11"/>
      <c r="I43" s="11">
        <v>0.38</v>
      </c>
      <c r="J43" s="12">
        <v>0</v>
      </c>
      <c r="K43" s="38" t="e">
        <f t="shared" si="3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3"/>
  <sheetViews>
    <sheetView workbookViewId="0">
      <selection activeCell="K6" sqref="K6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51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>
        <v>4</v>
      </c>
      <c r="E8" s="6">
        <v>5</v>
      </c>
      <c r="F8" s="6">
        <v>70</v>
      </c>
      <c r="G8" s="6"/>
      <c r="H8" s="6"/>
      <c r="I8" s="6">
        <v>0.61</v>
      </c>
      <c r="J8" s="6">
        <v>0</v>
      </c>
      <c r="K8" s="36" t="e">
        <f>(($G$16-G8)/$G$16)*100</f>
        <v>#DIV/0!</v>
      </c>
    </row>
    <row r="9" spans="1:11" x14ac:dyDescent="0.3">
      <c r="A9" s="6">
        <v>1</v>
      </c>
      <c r="B9" s="5">
        <v>2</v>
      </c>
      <c r="C9" s="6">
        <v>5</v>
      </c>
      <c r="D9" s="6">
        <v>2</v>
      </c>
      <c r="E9" s="6">
        <v>3</v>
      </c>
      <c r="F9" s="6">
        <v>31</v>
      </c>
      <c r="G9" s="6"/>
      <c r="H9" s="6"/>
      <c r="I9" s="6">
        <v>0.41</v>
      </c>
      <c r="J9" s="6">
        <v>0</v>
      </c>
      <c r="K9" s="34" t="e">
        <f t="shared" ref="K9:K16" si="0">(($G$16-G9)/$G$16)*100</f>
        <v>#DIV/0!</v>
      </c>
    </row>
    <row r="10" spans="1:11" x14ac:dyDescent="0.3">
      <c r="A10" s="6">
        <v>1</v>
      </c>
      <c r="B10" s="5">
        <v>3</v>
      </c>
      <c r="C10" s="6">
        <v>4</v>
      </c>
      <c r="D10" s="6">
        <v>2</v>
      </c>
      <c r="E10" s="6">
        <v>3.5</v>
      </c>
      <c r="F10" s="6">
        <v>37</v>
      </c>
      <c r="G10" s="6"/>
      <c r="H10" s="6"/>
      <c r="I10" s="6">
        <v>0.52</v>
      </c>
      <c r="J10" s="6">
        <v>0</v>
      </c>
      <c r="K10" s="34" t="e">
        <f t="shared" si="0"/>
        <v>#DIV/0!</v>
      </c>
    </row>
    <row r="11" spans="1:11" x14ac:dyDescent="0.3">
      <c r="A11" s="6">
        <v>1</v>
      </c>
      <c r="B11" s="5">
        <v>4</v>
      </c>
      <c r="C11" s="6">
        <v>7</v>
      </c>
      <c r="D11" s="6">
        <v>2</v>
      </c>
      <c r="E11" s="6">
        <v>2.5</v>
      </c>
      <c r="F11" s="6">
        <v>22</v>
      </c>
      <c r="G11" s="6"/>
      <c r="H11" s="6"/>
      <c r="I11" s="6">
        <v>0.36</v>
      </c>
      <c r="J11" s="6">
        <v>0</v>
      </c>
      <c r="K11" s="34" t="e">
        <f t="shared" si="0"/>
        <v>#DIV/0!</v>
      </c>
    </row>
    <row r="12" spans="1:11" x14ac:dyDescent="0.3">
      <c r="A12" s="6">
        <v>1</v>
      </c>
      <c r="B12" s="5">
        <v>5</v>
      </c>
      <c r="C12" s="6">
        <v>2</v>
      </c>
      <c r="D12" s="6">
        <v>2.5</v>
      </c>
      <c r="E12" s="6">
        <v>3</v>
      </c>
      <c r="F12" s="6">
        <v>38</v>
      </c>
      <c r="G12" s="6"/>
      <c r="H12" s="6"/>
      <c r="I12" s="6">
        <v>0.42</v>
      </c>
      <c r="J12" s="6">
        <v>0</v>
      </c>
      <c r="K12" s="34" t="e">
        <f t="shared" si="0"/>
        <v>#DIV/0!</v>
      </c>
    </row>
    <row r="13" spans="1:11" x14ac:dyDescent="0.3">
      <c r="A13" s="6">
        <v>1</v>
      </c>
      <c r="B13" s="5">
        <v>6</v>
      </c>
      <c r="C13" s="6">
        <v>6</v>
      </c>
      <c r="D13" s="6">
        <v>1.5</v>
      </c>
      <c r="E13" s="6">
        <v>2</v>
      </c>
      <c r="F13" s="6">
        <v>18</v>
      </c>
      <c r="G13" s="6"/>
      <c r="H13" s="6"/>
      <c r="I13" s="6">
        <v>0.34</v>
      </c>
      <c r="J13" s="6">
        <v>0</v>
      </c>
      <c r="K13" s="34" t="e">
        <f t="shared" si="0"/>
        <v>#DIV/0!</v>
      </c>
    </row>
    <row r="14" spans="1:11" x14ac:dyDescent="0.3">
      <c r="A14" s="6">
        <v>1</v>
      </c>
      <c r="B14" s="5">
        <v>7</v>
      </c>
      <c r="C14" s="6">
        <v>8</v>
      </c>
      <c r="D14" s="6">
        <v>2</v>
      </c>
      <c r="E14" s="6">
        <v>2</v>
      </c>
      <c r="F14" s="6">
        <v>22</v>
      </c>
      <c r="G14" s="6"/>
      <c r="H14" s="6"/>
      <c r="I14" s="6">
        <v>0.39</v>
      </c>
      <c r="J14" s="6">
        <v>0</v>
      </c>
      <c r="K14" s="34" t="e">
        <f t="shared" si="0"/>
        <v>#DIV/0!</v>
      </c>
    </row>
    <row r="15" spans="1:11" x14ac:dyDescent="0.3">
      <c r="A15" s="6">
        <v>1</v>
      </c>
      <c r="B15" s="5">
        <v>8</v>
      </c>
      <c r="C15" s="6">
        <v>3</v>
      </c>
      <c r="D15" s="6">
        <v>2.5</v>
      </c>
      <c r="E15" s="6">
        <v>3.5</v>
      </c>
      <c r="F15" s="6">
        <v>29</v>
      </c>
      <c r="G15" s="6"/>
      <c r="H15" s="6"/>
      <c r="I15" s="6">
        <v>0.33</v>
      </c>
      <c r="J15" s="6">
        <v>0</v>
      </c>
      <c r="K15" s="34" t="e">
        <f t="shared" si="0"/>
        <v>#DIV/0!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>
        <v>2.5</v>
      </c>
      <c r="E16" s="10">
        <v>3.5</v>
      </c>
      <c r="F16" s="10">
        <v>32</v>
      </c>
      <c r="G16" s="10"/>
      <c r="H16" s="10"/>
      <c r="I16" s="10">
        <v>0.32</v>
      </c>
      <c r="J16" s="10">
        <v>0</v>
      </c>
      <c r="K16" s="38" t="e">
        <f t="shared" si="0"/>
        <v>#DIV/0!</v>
      </c>
    </row>
    <row r="17" spans="1:11" x14ac:dyDescent="0.3">
      <c r="A17" s="5">
        <v>2</v>
      </c>
      <c r="B17" s="5">
        <v>10</v>
      </c>
      <c r="C17" s="5">
        <v>2</v>
      </c>
      <c r="D17" s="5">
        <v>2.5</v>
      </c>
      <c r="E17" s="5">
        <v>3.5</v>
      </c>
      <c r="F17" s="5">
        <v>42</v>
      </c>
      <c r="G17" s="5"/>
      <c r="H17" s="5"/>
      <c r="I17" s="5">
        <v>0.46</v>
      </c>
      <c r="J17" s="5">
        <v>0</v>
      </c>
      <c r="K17" s="36" t="e">
        <f>(($G$21-G17)/$G$21)*100</f>
        <v>#DIV/0!</v>
      </c>
    </row>
    <row r="18" spans="1:11" x14ac:dyDescent="0.3">
      <c r="A18" s="6">
        <v>2</v>
      </c>
      <c r="B18" s="5">
        <v>11</v>
      </c>
      <c r="C18" s="6">
        <v>9</v>
      </c>
      <c r="D18" s="6">
        <v>4.5</v>
      </c>
      <c r="E18" s="6">
        <v>5.5</v>
      </c>
      <c r="F18" s="6">
        <v>74</v>
      </c>
      <c r="G18" s="6"/>
      <c r="H18" s="6"/>
      <c r="I18" s="6">
        <v>0.59</v>
      </c>
      <c r="J18" s="6">
        <v>0</v>
      </c>
      <c r="K18" s="34" t="e">
        <f t="shared" ref="K18:K25" si="1">(($G$21-G18)/$G$21)*100</f>
        <v>#DIV/0!</v>
      </c>
    </row>
    <row r="19" spans="1:11" x14ac:dyDescent="0.3">
      <c r="A19" s="6">
        <v>2</v>
      </c>
      <c r="B19" s="5">
        <v>12</v>
      </c>
      <c r="C19" s="6">
        <v>8</v>
      </c>
      <c r="D19" s="6">
        <v>2</v>
      </c>
      <c r="E19" s="7">
        <v>3.5</v>
      </c>
      <c r="F19" s="6">
        <v>46</v>
      </c>
      <c r="G19" s="6"/>
      <c r="H19" s="6"/>
      <c r="I19" s="6">
        <v>0.45</v>
      </c>
      <c r="J19" s="6">
        <v>0</v>
      </c>
      <c r="K19" s="34" t="e">
        <f t="shared" si="1"/>
        <v>#DIV/0!</v>
      </c>
    </row>
    <row r="20" spans="1:11" x14ac:dyDescent="0.3">
      <c r="A20" s="6">
        <v>2</v>
      </c>
      <c r="B20" s="5">
        <v>13</v>
      </c>
      <c r="C20" s="6">
        <v>3</v>
      </c>
      <c r="D20" s="6">
        <v>2</v>
      </c>
      <c r="E20" s="6">
        <v>3</v>
      </c>
      <c r="F20" s="6">
        <v>47</v>
      </c>
      <c r="G20" s="6"/>
      <c r="H20" s="6"/>
      <c r="I20" s="6">
        <v>0.43</v>
      </c>
      <c r="J20" s="6">
        <v>0</v>
      </c>
      <c r="K20" s="34" t="e">
        <f t="shared" si="1"/>
        <v>#DIV/0!</v>
      </c>
    </row>
    <row r="21" spans="1:11" x14ac:dyDescent="0.3">
      <c r="A21" s="6">
        <v>2</v>
      </c>
      <c r="B21" s="5">
        <v>14</v>
      </c>
      <c r="C21" s="6">
        <v>1</v>
      </c>
      <c r="D21" s="6">
        <v>1.5</v>
      </c>
      <c r="E21" s="6">
        <v>2</v>
      </c>
      <c r="F21" s="6">
        <v>24</v>
      </c>
      <c r="G21" s="6"/>
      <c r="H21" s="6"/>
      <c r="I21" s="6">
        <v>0.39</v>
      </c>
      <c r="J21" s="6">
        <v>0</v>
      </c>
      <c r="K21" s="34" t="e">
        <f t="shared" si="1"/>
        <v>#DIV/0!</v>
      </c>
    </row>
    <row r="22" spans="1:11" x14ac:dyDescent="0.3">
      <c r="A22" s="6">
        <v>2</v>
      </c>
      <c r="B22" s="5">
        <v>15</v>
      </c>
      <c r="C22" s="6">
        <v>7</v>
      </c>
      <c r="D22" s="6">
        <v>1.5</v>
      </c>
      <c r="E22" s="6">
        <v>1.5</v>
      </c>
      <c r="F22" s="6">
        <v>19</v>
      </c>
      <c r="G22" s="6"/>
      <c r="H22" s="6"/>
      <c r="I22" s="7">
        <v>0.32</v>
      </c>
      <c r="J22" s="6">
        <v>0</v>
      </c>
      <c r="K22" s="34" t="e">
        <f t="shared" si="1"/>
        <v>#DIV/0!</v>
      </c>
    </row>
    <row r="23" spans="1:11" x14ac:dyDescent="0.3">
      <c r="A23" s="6">
        <v>2</v>
      </c>
      <c r="B23" s="5">
        <v>16</v>
      </c>
      <c r="C23" s="6">
        <v>5</v>
      </c>
      <c r="D23" s="6">
        <v>1.5</v>
      </c>
      <c r="E23" s="6">
        <v>2</v>
      </c>
      <c r="F23" s="6">
        <v>22</v>
      </c>
      <c r="G23" s="6"/>
      <c r="H23" s="6"/>
      <c r="I23" s="6">
        <v>0.31</v>
      </c>
      <c r="J23" s="6">
        <v>0</v>
      </c>
      <c r="K23" s="34" t="e">
        <f t="shared" si="1"/>
        <v>#DIV/0!</v>
      </c>
    </row>
    <row r="24" spans="1:11" x14ac:dyDescent="0.3">
      <c r="A24" s="6">
        <v>2</v>
      </c>
      <c r="B24" s="5">
        <v>17</v>
      </c>
      <c r="C24" s="6">
        <v>4</v>
      </c>
      <c r="D24" s="6">
        <v>2.5</v>
      </c>
      <c r="E24" s="6">
        <v>4</v>
      </c>
      <c r="F24" s="6">
        <v>39</v>
      </c>
      <c r="G24" s="6"/>
      <c r="H24" s="6"/>
      <c r="I24" s="6">
        <v>0.48</v>
      </c>
      <c r="J24" s="6">
        <v>0</v>
      </c>
      <c r="K24" s="34" t="e">
        <f t="shared" si="1"/>
        <v>#DIV/0!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>
        <v>3</v>
      </c>
      <c r="E25" s="10">
        <v>3.5</v>
      </c>
      <c r="F25" s="10">
        <v>37</v>
      </c>
      <c r="G25" s="10"/>
      <c r="H25" s="10"/>
      <c r="I25" s="10">
        <v>0.43</v>
      </c>
      <c r="J25" s="10">
        <v>0</v>
      </c>
      <c r="K25" s="38" t="e">
        <f t="shared" si="1"/>
        <v>#DIV/0!</v>
      </c>
    </row>
    <row r="26" spans="1:11" x14ac:dyDescent="0.3">
      <c r="A26" s="5">
        <v>3</v>
      </c>
      <c r="B26" s="5">
        <v>19</v>
      </c>
      <c r="C26" s="5">
        <v>7</v>
      </c>
      <c r="D26" s="5">
        <v>2.5</v>
      </c>
      <c r="E26" s="5">
        <v>3.5</v>
      </c>
      <c r="F26" s="5">
        <v>36</v>
      </c>
      <c r="G26" s="5"/>
      <c r="H26" s="5"/>
      <c r="I26" s="5">
        <v>0.43</v>
      </c>
      <c r="J26" s="5">
        <v>0</v>
      </c>
      <c r="K26" s="36" t="e">
        <f>(($G$31-G26)/$G$31)*100</f>
        <v>#DIV/0!</v>
      </c>
    </row>
    <row r="27" spans="1:11" x14ac:dyDescent="0.3">
      <c r="A27" s="6">
        <v>3</v>
      </c>
      <c r="B27" s="5">
        <v>20</v>
      </c>
      <c r="C27" s="6">
        <v>3</v>
      </c>
      <c r="D27" s="6">
        <v>4</v>
      </c>
      <c r="E27" s="6">
        <v>4.5</v>
      </c>
      <c r="F27" s="6">
        <v>64</v>
      </c>
      <c r="G27" s="6"/>
      <c r="H27" s="6"/>
      <c r="I27" s="6">
        <v>0.5</v>
      </c>
      <c r="J27" s="6">
        <v>0</v>
      </c>
      <c r="K27" s="34" t="e">
        <f t="shared" ref="K27:K34" si="2">(($G$31-G27)/$G$31)*100</f>
        <v>#DIV/0!</v>
      </c>
    </row>
    <row r="28" spans="1:11" x14ac:dyDescent="0.3">
      <c r="A28" s="6">
        <v>3</v>
      </c>
      <c r="B28" s="5">
        <v>21</v>
      </c>
      <c r="C28" s="6">
        <v>9</v>
      </c>
      <c r="D28" s="6">
        <v>4</v>
      </c>
      <c r="E28" s="6">
        <v>5</v>
      </c>
      <c r="F28" s="6">
        <v>68</v>
      </c>
      <c r="G28" s="6"/>
      <c r="H28" s="6"/>
      <c r="I28" s="6">
        <v>0.66</v>
      </c>
      <c r="J28" s="6">
        <v>0</v>
      </c>
      <c r="K28" s="34" t="e">
        <f t="shared" si="2"/>
        <v>#DIV/0!</v>
      </c>
    </row>
    <row r="29" spans="1:11" x14ac:dyDescent="0.3">
      <c r="A29" s="6">
        <v>3</v>
      </c>
      <c r="B29" s="5">
        <v>22</v>
      </c>
      <c r="C29" s="6">
        <v>4</v>
      </c>
      <c r="D29" s="6">
        <v>2.5</v>
      </c>
      <c r="E29" s="6">
        <v>4</v>
      </c>
      <c r="F29" s="6">
        <v>35</v>
      </c>
      <c r="G29" s="7"/>
      <c r="H29" s="6"/>
      <c r="I29" s="6">
        <v>0.51</v>
      </c>
      <c r="J29" s="6">
        <v>0</v>
      </c>
      <c r="K29" s="34" t="e">
        <f t="shared" si="2"/>
        <v>#DIV/0!</v>
      </c>
    </row>
    <row r="30" spans="1:11" x14ac:dyDescent="0.3">
      <c r="A30" s="6">
        <v>3</v>
      </c>
      <c r="B30" s="5">
        <v>23</v>
      </c>
      <c r="C30" s="6">
        <v>8</v>
      </c>
      <c r="D30" s="6">
        <v>1.5</v>
      </c>
      <c r="E30" s="6">
        <v>1.5</v>
      </c>
      <c r="F30" s="6">
        <v>19</v>
      </c>
      <c r="G30" s="6"/>
      <c r="H30" s="6"/>
      <c r="I30" s="6">
        <v>0.35</v>
      </c>
      <c r="J30" s="6">
        <v>0</v>
      </c>
      <c r="K30" s="34" t="e">
        <f t="shared" si="2"/>
        <v>#DIV/0!</v>
      </c>
    </row>
    <row r="31" spans="1:11" x14ac:dyDescent="0.3">
      <c r="A31" s="6">
        <v>3</v>
      </c>
      <c r="B31" s="5">
        <v>24</v>
      </c>
      <c r="C31" s="6">
        <v>1</v>
      </c>
      <c r="D31" s="6">
        <v>1.5</v>
      </c>
      <c r="E31" s="6">
        <v>2</v>
      </c>
      <c r="F31" s="6">
        <v>23</v>
      </c>
      <c r="G31" s="6"/>
      <c r="H31" s="6"/>
      <c r="I31" s="6">
        <v>0.32</v>
      </c>
      <c r="J31" s="6">
        <v>0</v>
      </c>
      <c r="K31" s="34" t="e">
        <f t="shared" si="2"/>
        <v>#DIV/0!</v>
      </c>
    </row>
    <row r="32" spans="1:11" x14ac:dyDescent="0.3">
      <c r="A32" s="6">
        <v>3</v>
      </c>
      <c r="B32" s="5">
        <v>25</v>
      </c>
      <c r="C32" s="6">
        <v>6</v>
      </c>
      <c r="D32" s="6">
        <v>1.5</v>
      </c>
      <c r="E32" s="6">
        <v>1.5</v>
      </c>
      <c r="F32" s="6">
        <v>22</v>
      </c>
      <c r="G32" s="6"/>
      <c r="H32" s="6"/>
      <c r="I32" s="6">
        <v>0.34</v>
      </c>
      <c r="J32" s="6">
        <v>0</v>
      </c>
      <c r="K32" s="34" t="e">
        <f t="shared" si="2"/>
        <v>#DIV/0!</v>
      </c>
    </row>
    <row r="33" spans="1:11" x14ac:dyDescent="0.3">
      <c r="A33" s="6">
        <v>3</v>
      </c>
      <c r="B33" s="5">
        <v>26</v>
      </c>
      <c r="C33" s="6">
        <v>2</v>
      </c>
      <c r="D33" s="6">
        <v>3</v>
      </c>
      <c r="E33" s="6">
        <v>4</v>
      </c>
      <c r="F33" s="6">
        <v>45</v>
      </c>
      <c r="G33" s="6"/>
      <c r="H33" s="6"/>
      <c r="I33" s="6">
        <v>0.51</v>
      </c>
      <c r="J33" s="6">
        <v>0</v>
      </c>
      <c r="K33" s="34" t="e">
        <f t="shared" si="2"/>
        <v>#DIV/0!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>
        <v>3</v>
      </c>
      <c r="E34" s="10">
        <v>4</v>
      </c>
      <c r="F34" s="10">
        <v>36</v>
      </c>
      <c r="G34" s="10"/>
      <c r="H34" s="10"/>
      <c r="I34" s="10">
        <v>0.38</v>
      </c>
      <c r="J34" s="10">
        <v>0</v>
      </c>
      <c r="K34" s="38" t="e">
        <f t="shared" si="2"/>
        <v>#DIV/0!</v>
      </c>
    </row>
    <row r="35" spans="1:11" x14ac:dyDescent="0.3">
      <c r="A35" s="5">
        <v>4</v>
      </c>
      <c r="B35" s="5">
        <v>28</v>
      </c>
      <c r="C35" s="9">
        <v>7</v>
      </c>
      <c r="D35" s="5">
        <v>2.5</v>
      </c>
      <c r="E35" s="5">
        <v>3.5</v>
      </c>
      <c r="F35" s="5">
        <v>39</v>
      </c>
      <c r="G35" s="5"/>
      <c r="H35" s="5"/>
      <c r="I35" s="5">
        <v>0.4</v>
      </c>
      <c r="J35" s="5">
        <v>0</v>
      </c>
      <c r="K35" s="36" t="e">
        <f>(($G$42-G35)/$G$42)*100</f>
        <v>#DIV/0!</v>
      </c>
    </row>
    <row r="36" spans="1:11" x14ac:dyDescent="0.3">
      <c r="A36" s="6">
        <v>4</v>
      </c>
      <c r="B36" s="5">
        <v>29</v>
      </c>
      <c r="C36" s="6">
        <v>3</v>
      </c>
      <c r="D36" s="6">
        <v>3</v>
      </c>
      <c r="E36" s="6">
        <v>4</v>
      </c>
      <c r="F36" s="6">
        <v>48</v>
      </c>
      <c r="G36" s="6"/>
      <c r="H36" s="6"/>
      <c r="I36" s="6">
        <v>0.42</v>
      </c>
      <c r="J36" s="6">
        <v>0</v>
      </c>
      <c r="K36" s="34" t="e">
        <f t="shared" ref="K36:K43" si="3">(($G$42-G36)/$G$42)*100</f>
        <v>#DIV/0!</v>
      </c>
    </row>
    <row r="37" spans="1:11" x14ac:dyDescent="0.3">
      <c r="A37" s="6">
        <v>4</v>
      </c>
      <c r="B37" s="5">
        <v>30</v>
      </c>
      <c r="C37" s="6">
        <v>4</v>
      </c>
      <c r="D37" s="6">
        <v>3.5</v>
      </c>
      <c r="E37" s="6">
        <v>4</v>
      </c>
      <c r="F37" s="6">
        <v>47</v>
      </c>
      <c r="G37" s="6"/>
      <c r="H37" s="6"/>
      <c r="I37" s="6">
        <v>0.47</v>
      </c>
      <c r="J37" s="6">
        <v>0</v>
      </c>
      <c r="K37" s="34" t="e">
        <f t="shared" si="3"/>
        <v>#DIV/0!</v>
      </c>
    </row>
    <row r="38" spans="1:11" x14ac:dyDescent="0.3">
      <c r="A38" s="6">
        <v>4</v>
      </c>
      <c r="B38" s="5">
        <v>31</v>
      </c>
      <c r="C38" s="6">
        <v>6</v>
      </c>
      <c r="D38" s="6">
        <v>1.5</v>
      </c>
      <c r="E38" s="6">
        <v>2</v>
      </c>
      <c r="F38" s="6">
        <v>22</v>
      </c>
      <c r="G38" s="6"/>
      <c r="H38" s="6"/>
      <c r="I38" s="6">
        <v>0.33</v>
      </c>
      <c r="J38" s="6">
        <v>0</v>
      </c>
      <c r="K38" s="34" t="e">
        <f t="shared" si="3"/>
        <v>#DIV/0!</v>
      </c>
    </row>
    <row r="39" spans="1:11" x14ac:dyDescent="0.3">
      <c r="A39" s="6">
        <v>4</v>
      </c>
      <c r="B39" s="5">
        <v>32</v>
      </c>
      <c r="C39" s="6">
        <v>5</v>
      </c>
      <c r="D39" s="6">
        <v>1.5</v>
      </c>
      <c r="E39" s="6">
        <v>2</v>
      </c>
      <c r="F39" s="6">
        <v>24</v>
      </c>
      <c r="G39" s="6"/>
      <c r="H39" s="6"/>
      <c r="I39" s="6">
        <v>0.36</v>
      </c>
      <c r="J39" s="6">
        <v>0</v>
      </c>
      <c r="K39" s="34" t="e">
        <f t="shared" si="3"/>
        <v>#DIV/0!</v>
      </c>
    </row>
    <row r="40" spans="1:11" x14ac:dyDescent="0.3">
      <c r="A40" s="6">
        <v>4</v>
      </c>
      <c r="B40" s="5">
        <v>33</v>
      </c>
      <c r="C40" s="6">
        <v>9</v>
      </c>
      <c r="D40" s="6">
        <v>3</v>
      </c>
      <c r="E40" s="6">
        <v>4</v>
      </c>
      <c r="F40" s="6">
        <v>54</v>
      </c>
      <c r="G40" s="6"/>
      <c r="H40" s="6"/>
      <c r="I40" s="6">
        <v>0.57999999999999996</v>
      </c>
      <c r="J40" s="6">
        <v>0</v>
      </c>
      <c r="K40" s="34" t="e">
        <f t="shared" si="3"/>
        <v>#DIV/0!</v>
      </c>
    </row>
    <row r="41" spans="1:11" x14ac:dyDescent="0.3">
      <c r="A41" s="6">
        <v>4</v>
      </c>
      <c r="B41" s="5">
        <v>34</v>
      </c>
      <c r="C41" s="6">
        <v>2</v>
      </c>
      <c r="D41" s="6">
        <v>2</v>
      </c>
      <c r="E41" s="6">
        <v>3</v>
      </c>
      <c r="F41" s="6">
        <v>27</v>
      </c>
      <c r="G41" s="6"/>
      <c r="H41" s="6"/>
      <c r="I41" s="6">
        <v>0.37</v>
      </c>
      <c r="J41" s="6">
        <v>0</v>
      </c>
      <c r="K41" s="34" t="e">
        <f t="shared" si="3"/>
        <v>#DIV/0!</v>
      </c>
    </row>
    <row r="42" spans="1:11" x14ac:dyDescent="0.3">
      <c r="A42" s="6">
        <v>4</v>
      </c>
      <c r="B42" s="5">
        <v>35</v>
      </c>
      <c r="C42" s="6">
        <v>1</v>
      </c>
      <c r="D42" s="6">
        <v>2</v>
      </c>
      <c r="E42" s="6">
        <v>3</v>
      </c>
      <c r="F42" s="6">
        <v>31</v>
      </c>
      <c r="G42" s="6"/>
      <c r="H42" s="6"/>
      <c r="I42" s="6">
        <v>0.41</v>
      </c>
      <c r="J42" s="6">
        <v>0</v>
      </c>
      <c r="K42" s="34" t="e">
        <f t="shared" si="3"/>
        <v>#DIV/0!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>
        <v>3.5</v>
      </c>
      <c r="E43" s="11">
        <v>4.5</v>
      </c>
      <c r="F43" s="11">
        <v>41</v>
      </c>
      <c r="G43" s="11"/>
      <c r="H43" s="11"/>
      <c r="I43" s="11">
        <v>0.52</v>
      </c>
      <c r="J43" s="12">
        <v>0</v>
      </c>
      <c r="K43" s="38" t="e">
        <f t="shared" si="3"/>
        <v>#DIV/0!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3"/>
  <sheetViews>
    <sheetView tabSelected="1" workbookViewId="0">
      <selection activeCell="K6" sqref="K6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  <c r="B2" t="s">
        <v>52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>
        <v>5</v>
      </c>
      <c r="E8" s="6">
        <v>6</v>
      </c>
      <c r="F8" s="6">
        <v>83</v>
      </c>
      <c r="G8" s="6"/>
      <c r="H8" s="6"/>
      <c r="I8" s="6">
        <v>0.78</v>
      </c>
      <c r="J8" s="6">
        <v>0</v>
      </c>
      <c r="K8" s="36" t="e">
        <f>(($G$16-G8)/$G$16)*100</f>
        <v>#DIV/0!</v>
      </c>
    </row>
    <row r="9" spans="1:11" x14ac:dyDescent="0.3">
      <c r="A9" s="6">
        <v>1</v>
      </c>
      <c r="B9" s="5">
        <v>2</v>
      </c>
      <c r="C9" s="6">
        <v>5</v>
      </c>
      <c r="D9" s="6">
        <v>3.5</v>
      </c>
      <c r="E9" s="6">
        <v>3.5</v>
      </c>
      <c r="F9" s="6">
        <v>35</v>
      </c>
      <c r="G9" s="6"/>
      <c r="H9" s="6"/>
      <c r="I9" s="6">
        <v>0.59</v>
      </c>
      <c r="J9" s="6">
        <v>0</v>
      </c>
      <c r="K9" s="34" t="e">
        <f t="shared" ref="K9:K16" si="0">(($G$16-G9)/$G$16)*100</f>
        <v>#DIV/0!</v>
      </c>
    </row>
    <row r="10" spans="1:11" x14ac:dyDescent="0.3">
      <c r="A10" s="6">
        <v>1</v>
      </c>
      <c r="B10" s="5">
        <v>3</v>
      </c>
      <c r="C10" s="6">
        <v>4</v>
      </c>
      <c r="D10" s="6">
        <v>4</v>
      </c>
      <c r="E10" s="6">
        <v>4</v>
      </c>
      <c r="F10" s="6">
        <v>47</v>
      </c>
      <c r="G10" s="6"/>
      <c r="H10" s="6"/>
      <c r="I10" s="6">
        <v>0.66</v>
      </c>
      <c r="J10" s="6">
        <v>0</v>
      </c>
      <c r="K10" s="34" t="e">
        <f t="shared" si="0"/>
        <v>#DIV/0!</v>
      </c>
    </row>
    <row r="11" spans="1:11" x14ac:dyDescent="0.3">
      <c r="A11" s="6">
        <v>1</v>
      </c>
      <c r="B11" s="5">
        <v>4</v>
      </c>
      <c r="C11" s="6">
        <v>7</v>
      </c>
      <c r="D11" s="6">
        <v>2</v>
      </c>
      <c r="E11" s="6">
        <v>3</v>
      </c>
      <c r="F11" s="6">
        <v>32</v>
      </c>
      <c r="G11" s="6"/>
      <c r="H11" s="6"/>
      <c r="I11" s="6">
        <v>0.52</v>
      </c>
      <c r="J11" s="6">
        <v>0</v>
      </c>
      <c r="K11" s="34" t="e">
        <f t="shared" si="0"/>
        <v>#DIV/0!</v>
      </c>
    </row>
    <row r="12" spans="1:11" x14ac:dyDescent="0.3">
      <c r="A12" s="6">
        <v>1</v>
      </c>
      <c r="B12" s="5">
        <v>5</v>
      </c>
      <c r="C12" s="6">
        <v>2</v>
      </c>
      <c r="D12" s="6">
        <v>2.5</v>
      </c>
      <c r="E12" s="6">
        <v>3.5</v>
      </c>
      <c r="F12" s="6">
        <v>41</v>
      </c>
      <c r="G12" s="6"/>
      <c r="H12" s="6"/>
      <c r="I12" s="6">
        <v>0.57999999999999996</v>
      </c>
      <c r="J12" s="6">
        <v>0</v>
      </c>
      <c r="K12" s="34" t="e">
        <f t="shared" si="0"/>
        <v>#DIV/0!</v>
      </c>
    </row>
    <row r="13" spans="1:11" x14ac:dyDescent="0.3">
      <c r="A13" s="6">
        <v>1</v>
      </c>
      <c r="B13" s="5">
        <v>6</v>
      </c>
      <c r="C13" s="6">
        <v>6</v>
      </c>
      <c r="D13" s="7">
        <v>1.5</v>
      </c>
      <c r="E13" s="6">
        <v>2</v>
      </c>
      <c r="F13" s="6">
        <v>21</v>
      </c>
      <c r="G13" s="6"/>
      <c r="H13" s="6"/>
      <c r="I13" s="6">
        <v>0.51</v>
      </c>
      <c r="J13" s="6">
        <v>0</v>
      </c>
      <c r="K13" s="34" t="e">
        <f t="shared" si="0"/>
        <v>#DIV/0!</v>
      </c>
    </row>
    <row r="14" spans="1:11" x14ac:dyDescent="0.3">
      <c r="A14" s="6">
        <v>1</v>
      </c>
      <c r="B14" s="5">
        <v>7</v>
      </c>
      <c r="C14" s="6">
        <v>8</v>
      </c>
      <c r="D14" s="6">
        <v>1.5</v>
      </c>
      <c r="E14" s="6">
        <v>2</v>
      </c>
      <c r="F14" s="6">
        <v>24</v>
      </c>
      <c r="G14" s="6"/>
      <c r="H14" s="6"/>
      <c r="I14" s="6">
        <v>0.56000000000000005</v>
      </c>
      <c r="J14" s="6">
        <v>0</v>
      </c>
      <c r="K14" s="34" t="e">
        <f t="shared" si="0"/>
        <v>#DIV/0!</v>
      </c>
    </row>
    <row r="15" spans="1:11" x14ac:dyDescent="0.3">
      <c r="A15" s="6">
        <v>1</v>
      </c>
      <c r="B15" s="5">
        <v>8</v>
      </c>
      <c r="C15" s="6">
        <v>3</v>
      </c>
      <c r="D15" s="6">
        <v>2.5</v>
      </c>
      <c r="E15" s="6">
        <v>3.5</v>
      </c>
      <c r="F15" s="6">
        <v>30</v>
      </c>
      <c r="G15" s="6"/>
      <c r="H15" s="6"/>
      <c r="I15" s="6">
        <v>0.5</v>
      </c>
      <c r="J15" s="6">
        <v>0</v>
      </c>
      <c r="K15" s="34" t="e">
        <f t="shared" si="0"/>
        <v>#DIV/0!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>
        <v>2.5</v>
      </c>
      <c r="E16" s="10">
        <v>3.5</v>
      </c>
      <c r="F16" s="10">
        <v>32</v>
      </c>
      <c r="G16" s="10"/>
      <c r="H16" s="10"/>
      <c r="I16" s="10">
        <v>0.49</v>
      </c>
      <c r="J16" s="10">
        <v>0</v>
      </c>
      <c r="K16" s="38" t="e">
        <f t="shared" si="0"/>
        <v>#DIV/0!</v>
      </c>
    </row>
    <row r="17" spans="1:11" x14ac:dyDescent="0.3">
      <c r="A17" s="5">
        <v>2</v>
      </c>
      <c r="B17" s="5">
        <v>10</v>
      </c>
      <c r="C17" s="5">
        <v>2</v>
      </c>
      <c r="D17" s="5">
        <v>3</v>
      </c>
      <c r="E17" s="5">
        <v>4</v>
      </c>
      <c r="F17" s="5">
        <v>46</v>
      </c>
      <c r="G17" s="5"/>
      <c r="H17" s="5"/>
      <c r="I17" s="5">
        <v>0.65</v>
      </c>
      <c r="J17" s="5">
        <v>0</v>
      </c>
      <c r="K17" s="36" t="e">
        <f>(($G$21-G17)/$G$21)*100</f>
        <v>#DIV/0!</v>
      </c>
    </row>
    <row r="18" spans="1:11" x14ac:dyDescent="0.3">
      <c r="A18" s="6">
        <v>2</v>
      </c>
      <c r="B18" s="5">
        <v>11</v>
      </c>
      <c r="C18" s="6">
        <v>9</v>
      </c>
      <c r="D18" s="6">
        <v>5</v>
      </c>
      <c r="E18" s="6">
        <v>6</v>
      </c>
      <c r="F18" s="6">
        <v>88</v>
      </c>
      <c r="G18" s="6"/>
      <c r="H18" s="6"/>
      <c r="I18" s="6">
        <v>0.77</v>
      </c>
      <c r="J18" s="6">
        <v>0</v>
      </c>
      <c r="K18" s="34" t="e">
        <f t="shared" ref="K18:K25" si="1">(($G$21-G18)/$G$21)*100</f>
        <v>#DIV/0!</v>
      </c>
    </row>
    <row r="19" spans="1:11" x14ac:dyDescent="0.3">
      <c r="A19" s="6">
        <v>2</v>
      </c>
      <c r="B19" s="5">
        <v>12</v>
      </c>
      <c r="C19" s="6">
        <v>8</v>
      </c>
      <c r="D19" s="6">
        <v>3</v>
      </c>
      <c r="E19" s="7">
        <v>4</v>
      </c>
      <c r="F19" s="6">
        <v>46</v>
      </c>
      <c r="G19" s="6"/>
      <c r="H19" s="6"/>
      <c r="I19" s="6">
        <v>0.61</v>
      </c>
      <c r="J19" s="6">
        <v>0</v>
      </c>
      <c r="K19" s="34" t="e">
        <f t="shared" si="1"/>
        <v>#DIV/0!</v>
      </c>
    </row>
    <row r="20" spans="1:11" x14ac:dyDescent="0.3">
      <c r="A20" s="6">
        <v>2</v>
      </c>
      <c r="B20" s="5">
        <v>13</v>
      </c>
      <c r="C20" s="6">
        <v>3</v>
      </c>
      <c r="D20" s="6">
        <v>2.5</v>
      </c>
      <c r="E20" s="6">
        <v>3.5</v>
      </c>
      <c r="F20" s="6">
        <v>44</v>
      </c>
      <c r="G20" s="6"/>
      <c r="H20" s="6"/>
      <c r="I20" s="6">
        <v>0.62</v>
      </c>
      <c r="J20" s="6">
        <v>0</v>
      </c>
      <c r="K20" s="34" t="e">
        <f t="shared" si="1"/>
        <v>#DIV/0!</v>
      </c>
    </row>
    <row r="21" spans="1:11" x14ac:dyDescent="0.3">
      <c r="A21" s="6">
        <v>2</v>
      </c>
      <c r="B21" s="5">
        <v>14</v>
      </c>
      <c r="C21" s="6">
        <v>1</v>
      </c>
      <c r="D21" s="6">
        <v>1.5</v>
      </c>
      <c r="E21" s="6">
        <v>3</v>
      </c>
      <c r="F21" s="6">
        <v>24</v>
      </c>
      <c r="G21" s="6"/>
      <c r="H21" s="6"/>
      <c r="I21" s="6">
        <v>0.59</v>
      </c>
      <c r="J21" s="6">
        <v>0</v>
      </c>
      <c r="K21" s="34" t="e">
        <f t="shared" si="1"/>
        <v>#DIV/0!</v>
      </c>
    </row>
    <row r="22" spans="1:11" x14ac:dyDescent="0.3">
      <c r="A22" s="6">
        <v>2</v>
      </c>
      <c r="B22" s="5">
        <v>15</v>
      </c>
      <c r="C22" s="6">
        <v>7</v>
      </c>
      <c r="D22" s="6">
        <v>1.5</v>
      </c>
      <c r="E22" s="6">
        <v>2</v>
      </c>
      <c r="F22" s="6">
        <v>20</v>
      </c>
      <c r="G22" s="6"/>
      <c r="H22" s="6"/>
      <c r="I22" s="7">
        <v>0.5</v>
      </c>
      <c r="J22" s="6">
        <v>0</v>
      </c>
      <c r="K22" s="34" t="e">
        <f t="shared" si="1"/>
        <v>#DIV/0!</v>
      </c>
    </row>
    <row r="23" spans="1:11" x14ac:dyDescent="0.3">
      <c r="A23" s="6">
        <v>2</v>
      </c>
      <c r="B23" s="5">
        <v>16</v>
      </c>
      <c r="C23" s="6">
        <v>5</v>
      </c>
      <c r="D23" s="6">
        <v>1.5</v>
      </c>
      <c r="E23" s="6">
        <v>2</v>
      </c>
      <c r="F23" s="6">
        <v>22</v>
      </c>
      <c r="G23" s="6"/>
      <c r="H23" s="6"/>
      <c r="I23" s="6">
        <v>0.49</v>
      </c>
      <c r="J23" s="6">
        <v>0</v>
      </c>
      <c r="K23" s="34" t="e">
        <f t="shared" si="1"/>
        <v>#DIV/0!</v>
      </c>
    </row>
    <row r="24" spans="1:11" x14ac:dyDescent="0.3">
      <c r="A24" s="6">
        <v>2</v>
      </c>
      <c r="B24" s="5">
        <v>17</v>
      </c>
      <c r="C24" s="6">
        <v>4</v>
      </c>
      <c r="D24" s="6">
        <v>3</v>
      </c>
      <c r="E24" s="6">
        <v>4</v>
      </c>
      <c r="F24" s="6">
        <v>56</v>
      </c>
      <c r="G24" s="6"/>
      <c r="H24" s="6"/>
      <c r="I24" s="6">
        <v>0.61</v>
      </c>
      <c r="J24" s="6">
        <v>0</v>
      </c>
      <c r="K24" s="34" t="e">
        <f t="shared" si="1"/>
        <v>#DIV/0!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>
        <v>3</v>
      </c>
      <c r="E25" s="10">
        <v>4</v>
      </c>
      <c r="F25" s="10">
        <v>44</v>
      </c>
      <c r="G25" s="10"/>
      <c r="H25" s="10"/>
      <c r="I25" s="10">
        <v>0.59</v>
      </c>
      <c r="J25" s="10">
        <v>0</v>
      </c>
      <c r="K25" s="38" t="e">
        <f t="shared" si="1"/>
        <v>#DIV/0!</v>
      </c>
    </row>
    <row r="26" spans="1:11" x14ac:dyDescent="0.3">
      <c r="A26" s="5">
        <v>3</v>
      </c>
      <c r="B26" s="5">
        <v>19</v>
      </c>
      <c r="C26" s="5">
        <v>7</v>
      </c>
      <c r="D26" s="5">
        <v>3</v>
      </c>
      <c r="E26" s="5">
        <v>4</v>
      </c>
      <c r="F26" s="5">
        <v>47</v>
      </c>
      <c r="G26" s="5"/>
      <c r="H26" s="5"/>
      <c r="I26" s="5">
        <v>0.62</v>
      </c>
      <c r="J26" s="5">
        <v>0</v>
      </c>
      <c r="K26" s="36" t="e">
        <f>(($G$31-G26)/$G$31)*100</f>
        <v>#DIV/0!</v>
      </c>
    </row>
    <row r="27" spans="1:11" x14ac:dyDescent="0.3">
      <c r="A27" s="6">
        <v>3</v>
      </c>
      <c r="B27" s="5">
        <v>20</v>
      </c>
      <c r="C27" s="6">
        <v>3</v>
      </c>
      <c r="D27" s="6">
        <v>4</v>
      </c>
      <c r="E27" s="6">
        <v>5</v>
      </c>
      <c r="F27" s="6">
        <v>69</v>
      </c>
      <c r="G27" s="6"/>
      <c r="H27" s="6"/>
      <c r="I27" s="6">
        <v>0.68</v>
      </c>
      <c r="J27" s="6">
        <v>0</v>
      </c>
      <c r="K27" s="34" t="e">
        <f t="shared" ref="K27:K34" si="2">(($G$31-G27)/$G$31)*100</f>
        <v>#DIV/0!</v>
      </c>
    </row>
    <row r="28" spans="1:11" x14ac:dyDescent="0.3">
      <c r="A28" s="6">
        <v>3</v>
      </c>
      <c r="B28" s="5">
        <v>21</v>
      </c>
      <c r="C28" s="6">
        <v>9</v>
      </c>
      <c r="D28" s="6">
        <v>4</v>
      </c>
      <c r="E28" s="6">
        <v>5</v>
      </c>
      <c r="F28" s="6">
        <v>76</v>
      </c>
      <c r="G28" s="6"/>
      <c r="H28" s="6"/>
      <c r="I28" s="6">
        <v>0.72</v>
      </c>
      <c r="J28" s="6">
        <v>0</v>
      </c>
      <c r="K28" s="34" t="e">
        <f t="shared" si="2"/>
        <v>#DIV/0!</v>
      </c>
    </row>
    <row r="29" spans="1:11" x14ac:dyDescent="0.3">
      <c r="A29" s="6">
        <v>3</v>
      </c>
      <c r="B29" s="5">
        <v>22</v>
      </c>
      <c r="C29" s="6">
        <v>4</v>
      </c>
      <c r="D29" s="6">
        <v>3</v>
      </c>
      <c r="E29" s="6">
        <v>3.5</v>
      </c>
      <c r="F29" s="6">
        <v>45</v>
      </c>
      <c r="G29" s="7"/>
      <c r="H29" s="6"/>
      <c r="I29" s="6">
        <v>0.69</v>
      </c>
      <c r="J29" s="6">
        <v>0</v>
      </c>
      <c r="K29" s="34" t="e">
        <f t="shared" si="2"/>
        <v>#DIV/0!</v>
      </c>
    </row>
    <row r="30" spans="1:11" x14ac:dyDescent="0.3">
      <c r="A30" s="6">
        <v>3</v>
      </c>
      <c r="B30" s="5">
        <v>23</v>
      </c>
      <c r="C30" s="6">
        <v>8</v>
      </c>
      <c r="D30" s="6">
        <v>1.5</v>
      </c>
      <c r="E30" s="6">
        <v>2</v>
      </c>
      <c r="F30" s="6">
        <v>26</v>
      </c>
      <c r="G30" s="6"/>
      <c r="H30" s="6"/>
      <c r="I30" s="6">
        <v>0.55000000000000004</v>
      </c>
      <c r="J30" s="6">
        <v>0</v>
      </c>
      <c r="K30" s="34" t="e">
        <f t="shared" si="2"/>
        <v>#DIV/0!</v>
      </c>
    </row>
    <row r="31" spans="1:11" x14ac:dyDescent="0.3">
      <c r="A31" s="6">
        <v>3</v>
      </c>
      <c r="B31" s="5">
        <v>24</v>
      </c>
      <c r="C31" s="6">
        <v>1</v>
      </c>
      <c r="D31" s="6">
        <v>1.5</v>
      </c>
      <c r="E31" s="6">
        <v>2</v>
      </c>
      <c r="F31" s="6">
        <v>28</v>
      </c>
      <c r="G31" s="6"/>
      <c r="H31" s="6"/>
      <c r="I31" s="6">
        <v>0.49</v>
      </c>
      <c r="J31" s="6">
        <v>0</v>
      </c>
      <c r="K31" s="34" t="e">
        <f t="shared" si="2"/>
        <v>#DIV/0!</v>
      </c>
    </row>
    <row r="32" spans="1:11" x14ac:dyDescent="0.3">
      <c r="A32" s="6">
        <v>3</v>
      </c>
      <c r="B32" s="5">
        <v>25</v>
      </c>
      <c r="C32" s="6">
        <v>6</v>
      </c>
      <c r="D32" s="6">
        <v>1.5</v>
      </c>
      <c r="E32" s="6">
        <v>2</v>
      </c>
      <c r="F32" s="6">
        <v>27</v>
      </c>
      <c r="G32" s="6"/>
      <c r="H32" s="6"/>
      <c r="I32" s="6">
        <v>0.51</v>
      </c>
      <c r="J32" s="6">
        <v>0</v>
      </c>
      <c r="K32" s="34" t="e">
        <f t="shared" si="2"/>
        <v>#DIV/0!</v>
      </c>
    </row>
    <row r="33" spans="1:11" x14ac:dyDescent="0.3">
      <c r="A33" s="6">
        <v>3</v>
      </c>
      <c r="B33" s="5">
        <v>26</v>
      </c>
      <c r="C33" s="6">
        <v>2</v>
      </c>
      <c r="D33" s="7">
        <v>3.5</v>
      </c>
      <c r="E33" s="6">
        <v>4</v>
      </c>
      <c r="F33" s="6">
        <v>54</v>
      </c>
      <c r="G33" s="6"/>
      <c r="H33" s="6"/>
      <c r="I33" s="6">
        <v>0.68</v>
      </c>
      <c r="J33" s="6">
        <v>0</v>
      </c>
      <c r="K33" s="34" t="e">
        <f t="shared" si="2"/>
        <v>#DIV/0!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>
        <v>3</v>
      </c>
      <c r="E34" s="10">
        <v>3.5</v>
      </c>
      <c r="F34" s="10">
        <v>47</v>
      </c>
      <c r="G34" s="10"/>
      <c r="H34" s="10"/>
      <c r="I34" s="10">
        <v>0.59</v>
      </c>
      <c r="J34" s="10">
        <v>0</v>
      </c>
      <c r="K34" s="38" t="e">
        <f t="shared" si="2"/>
        <v>#DIV/0!</v>
      </c>
    </row>
    <row r="35" spans="1:11" x14ac:dyDescent="0.3">
      <c r="A35" s="5">
        <v>4</v>
      </c>
      <c r="B35" s="5">
        <v>28</v>
      </c>
      <c r="C35" s="9">
        <v>7</v>
      </c>
      <c r="D35" s="5">
        <v>2.5</v>
      </c>
      <c r="E35" s="5">
        <v>3.5</v>
      </c>
      <c r="F35" s="5">
        <v>43</v>
      </c>
      <c r="G35" s="5"/>
      <c r="H35" s="5"/>
      <c r="I35" s="5">
        <v>0.55000000000000004</v>
      </c>
      <c r="J35" s="5">
        <v>0</v>
      </c>
      <c r="K35" s="36" t="e">
        <f>(($G$42-G35)/$G$42)*100</f>
        <v>#DIV/0!</v>
      </c>
    </row>
    <row r="36" spans="1:11" x14ac:dyDescent="0.3">
      <c r="A36" s="6">
        <v>4</v>
      </c>
      <c r="B36" s="5">
        <v>29</v>
      </c>
      <c r="C36" s="6">
        <v>3</v>
      </c>
      <c r="D36" s="6">
        <v>3</v>
      </c>
      <c r="E36" s="6">
        <v>4</v>
      </c>
      <c r="F36" s="6">
        <v>53</v>
      </c>
      <c r="G36" s="6"/>
      <c r="H36" s="6"/>
      <c r="I36" s="6">
        <v>0.6</v>
      </c>
      <c r="J36" s="6">
        <v>0</v>
      </c>
      <c r="K36" s="34" t="e">
        <f t="shared" ref="K36:K43" si="3">(($G$42-G36)/$G$42)*100</f>
        <v>#DIV/0!</v>
      </c>
    </row>
    <row r="37" spans="1:11" x14ac:dyDescent="0.3">
      <c r="A37" s="6">
        <v>4</v>
      </c>
      <c r="B37" s="5">
        <v>30</v>
      </c>
      <c r="C37" s="6">
        <v>4</v>
      </c>
      <c r="D37" s="6">
        <v>3</v>
      </c>
      <c r="E37" s="6">
        <v>4</v>
      </c>
      <c r="F37" s="6">
        <v>49</v>
      </c>
      <c r="G37" s="6"/>
      <c r="H37" s="6"/>
      <c r="I37" s="6">
        <v>0.68</v>
      </c>
      <c r="J37" s="6">
        <v>0</v>
      </c>
      <c r="K37" s="34" t="e">
        <f t="shared" si="3"/>
        <v>#DIV/0!</v>
      </c>
    </row>
    <row r="38" spans="1:11" x14ac:dyDescent="0.3">
      <c r="A38" s="6">
        <v>4</v>
      </c>
      <c r="B38" s="5">
        <v>31</v>
      </c>
      <c r="C38" s="6">
        <v>6</v>
      </c>
      <c r="D38" s="6">
        <v>1.5</v>
      </c>
      <c r="E38" s="6">
        <v>1.5</v>
      </c>
      <c r="F38" s="6">
        <v>23</v>
      </c>
      <c r="G38" s="6"/>
      <c r="H38" s="6"/>
      <c r="I38" s="6">
        <v>0.51</v>
      </c>
      <c r="J38" s="6">
        <v>0</v>
      </c>
      <c r="K38" s="34" t="e">
        <f t="shared" si="3"/>
        <v>#DIV/0!</v>
      </c>
    </row>
    <row r="39" spans="1:11" x14ac:dyDescent="0.3">
      <c r="A39" s="6">
        <v>4</v>
      </c>
      <c r="B39" s="5">
        <v>32</v>
      </c>
      <c r="C39" s="6">
        <v>5</v>
      </c>
      <c r="D39" s="6">
        <v>2</v>
      </c>
      <c r="E39" s="6">
        <v>2</v>
      </c>
      <c r="F39" s="6">
        <v>26</v>
      </c>
      <c r="G39" s="6"/>
      <c r="H39" s="6"/>
      <c r="I39" s="6">
        <v>0.52</v>
      </c>
      <c r="J39" s="6">
        <v>0</v>
      </c>
      <c r="K39" s="34" t="e">
        <f t="shared" si="3"/>
        <v>#DIV/0!</v>
      </c>
    </row>
    <row r="40" spans="1:11" x14ac:dyDescent="0.3">
      <c r="A40" s="6">
        <v>4</v>
      </c>
      <c r="B40" s="5">
        <v>33</v>
      </c>
      <c r="C40" s="6">
        <v>9</v>
      </c>
      <c r="D40" s="6">
        <v>3</v>
      </c>
      <c r="E40" s="6">
        <v>4</v>
      </c>
      <c r="F40" s="6">
        <v>59</v>
      </c>
      <c r="G40" s="6"/>
      <c r="H40" s="6"/>
      <c r="I40" s="6">
        <v>0.69</v>
      </c>
      <c r="J40" s="6">
        <v>0</v>
      </c>
      <c r="K40" s="34" t="e">
        <f t="shared" si="3"/>
        <v>#DIV/0!</v>
      </c>
    </row>
    <row r="41" spans="1:11" x14ac:dyDescent="0.3">
      <c r="A41" s="6">
        <v>4</v>
      </c>
      <c r="B41" s="5">
        <v>34</v>
      </c>
      <c r="C41" s="6">
        <v>2</v>
      </c>
      <c r="D41" s="6">
        <v>2</v>
      </c>
      <c r="E41" s="6">
        <v>2</v>
      </c>
      <c r="F41" s="6">
        <v>34</v>
      </c>
      <c r="G41" s="6"/>
      <c r="H41" s="6"/>
      <c r="I41" s="6">
        <v>0.57999999999999996</v>
      </c>
      <c r="J41" s="6">
        <v>0</v>
      </c>
      <c r="K41" s="34" t="e">
        <f t="shared" si="3"/>
        <v>#DIV/0!</v>
      </c>
    </row>
    <row r="42" spans="1:11" x14ac:dyDescent="0.3">
      <c r="A42" s="6">
        <v>4</v>
      </c>
      <c r="B42" s="5">
        <v>35</v>
      </c>
      <c r="C42" s="6">
        <v>1</v>
      </c>
      <c r="D42" s="6">
        <v>3</v>
      </c>
      <c r="E42" s="6">
        <v>3</v>
      </c>
      <c r="F42" s="6">
        <v>38</v>
      </c>
      <c r="G42" s="6"/>
      <c r="H42" s="6"/>
      <c r="I42" s="6">
        <v>0.56000000000000005</v>
      </c>
      <c r="J42" s="6">
        <v>0</v>
      </c>
      <c r="K42" s="34" t="e">
        <f t="shared" si="3"/>
        <v>#DIV/0!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>
        <v>3</v>
      </c>
      <c r="E43" s="11">
        <v>4</v>
      </c>
      <c r="F43" s="11">
        <v>55</v>
      </c>
      <c r="G43" s="11"/>
      <c r="H43" s="11"/>
      <c r="I43" s="11">
        <v>0.66</v>
      </c>
      <c r="J43" s="12">
        <v>0</v>
      </c>
      <c r="K43" s="38" t="e">
        <f t="shared" si="3"/>
        <v>#DIV/0!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6D1A-68BB-4599-A21F-B5030C507533}">
  <dimension ref="A1:K43"/>
  <sheetViews>
    <sheetView workbookViewId="0">
      <selection activeCell="B2" sqref="B2"/>
    </sheetView>
  </sheetViews>
  <sheetFormatPr defaultRowHeight="14.4" x14ac:dyDescent="0.3"/>
  <sheetData>
    <row r="1" spans="1:11" x14ac:dyDescent="0.3">
      <c r="A1" t="s">
        <v>0</v>
      </c>
      <c r="C1" t="s">
        <v>1</v>
      </c>
      <c r="D1" t="s">
        <v>19</v>
      </c>
    </row>
    <row r="2" spans="1:11" x14ac:dyDescent="0.3">
      <c r="A2" s="1" t="s">
        <v>2</v>
      </c>
    </row>
    <row r="3" spans="1:11" x14ac:dyDescent="0.3">
      <c r="A3" s="1" t="s">
        <v>3</v>
      </c>
      <c r="B3" t="s">
        <v>18</v>
      </c>
    </row>
    <row r="4" spans="1:11" x14ac:dyDescent="0.3">
      <c r="A4" s="1" t="s">
        <v>4</v>
      </c>
      <c r="B4" t="s">
        <v>24</v>
      </c>
    </row>
    <row r="5" spans="1:11" x14ac:dyDescent="0.3">
      <c r="A5" t="s">
        <v>5</v>
      </c>
    </row>
    <row r="6" spans="1:11" ht="15" thickBot="1" x14ac:dyDescent="0.35">
      <c r="A6" s="1" t="s">
        <v>6</v>
      </c>
      <c r="C6" t="s">
        <v>13</v>
      </c>
    </row>
    <row r="7" spans="1:11" ht="15" thickBot="1" x14ac:dyDescent="0.35">
      <c r="A7" s="2" t="s">
        <v>8</v>
      </c>
      <c r="B7" s="3" t="s">
        <v>7</v>
      </c>
      <c r="C7" s="4" t="s">
        <v>20</v>
      </c>
      <c r="D7" s="2" t="s">
        <v>9</v>
      </c>
      <c r="E7" s="3" t="s">
        <v>10</v>
      </c>
      <c r="F7" s="3" t="s">
        <v>14</v>
      </c>
      <c r="G7" s="3" t="s">
        <v>11</v>
      </c>
      <c r="H7" s="3" t="s">
        <v>15</v>
      </c>
      <c r="I7" s="3" t="s">
        <v>16</v>
      </c>
      <c r="J7" s="35" t="s">
        <v>12</v>
      </c>
      <c r="K7" s="37" t="s">
        <v>46</v>
      </c>
    </row>
    <row r="8" spans="1:11" x14ac:dyDescent="0.3">
      <c r="A8" s="5">
        <v>1</v>
      </c>
      <c r="B8" s="5">
        <v>1</v>
      </c>
      <c r="C8" s="5">
        <v>9</v>
      </c>
      <c r="D8" s="6"/>
      <c r="E8" s="6"/>
      <c r="F8" s="6"/>
      <c r="G8" s="6"/>
      <c r="H8" s="6"/>
      <c r="I8" s="6"/>
      <c r="J8" s="6">
        <v>0</v>
      </c>
      <c r="K8" s="36" t="e">
        <f>(($G$16-G8)/$G$16)*100</f>
        <v>#DIV/0!</v>
      </c>
    </row>
    <row r="9" spans="1:11" x14ac:dyDescent="0.3">
      <c r="A9" s="6">
        <v>1</v>
      </c>
      <c r="B9" s="5">
        <v>2</v>
      </c>
      <c r="C9" s="6">
        <v>5</v>
      </c>
      <c r="D9" s="6"/>
      <c r="E9" s="6"/>
      <c r="F9" s="6"/>
      <c r="G9" s="6"/>
      <c r="H9" s="6"/>
      <c r="I9" s="6"/>
      <c r="J9" s="6">
        <v>0</v>
      </c>
      <c r="K9" s="34" t="e">
        <f t="shared" ref="K9:K16" si="0">(($G$16-G9)/$G$16)*100</f>
        <v>#DIV/0!</v>
      </c>
    </row>
    <row r="10" spans="1:11" x14ac:dyDescent="0.3">
      <c r="A10" s="6">
        <v>1</v>
      </c>
      <c r="B10" s="5">
        <v>3</v>
      </c>
      <c r="C10" s="6">
        <v>4</v>
      </c>
      <c r="D10" s="6"/>
      <c r="E10" s="6"/>
      <c r="F10" s="6"/>
      <c r="G10" s="6"/>
      <c r="H10" s="6"/>
      <c r="I10" s="6"/>
      <c r="J10" s="6">
        <v>0</v>
      </c>
      <c r="K10" s="34" t="e">
        <f t="shared" si="0"/>
        <v>#DIV/0!</v>
      </c>
    </row>
    <row r="11" spans="1:11" x14ac:dyDescent="0.3">
      <c r="A11" s="6">
        <v>1</v>
      </c>
      <c r="B11" s="5">
        <v>4</v>
      </c>
      <c r="C11" s="6">
        <v>7</v>
      </c>
      <c r="D11" s="6"/>
      <c r="E11" s="6"/>
      <c r="F11" s="6"/>
      <c r="G11" s="6"/>
      <c r="H11" s="6"/>
      <c r="I11" s="6"/>
      <c r="J11" s="6">
        <v>0</v>
      </c>
      <c r="K11" s="34" t="e">
        <f t="shared" si="0"/>
        <v>#DIV/0!</v>
      </c>
    </row>
    <row r="12" spans="1:11" x14ac:dyDescent="0.3">
      <c r="A12" s="6">
        <v>1</v>
      </c>
      <c r="B12" s="5">
        <v>5</v>
      </c>
      <c r="C12" s="6">
        <v>2</v>
      </c>
      <c r="D12" s="6"/>
      <c r="E12" s="6"/>
      <c r="F12" s="6"/>
      <c r="G12" s="6"/>
      <c r="H12" s="6"/>
      <c r="I12" s="6"/>
      <c r="J12" s="6">
        <v>0</v>
      </c>
      <c r="K12" s="34" t="e">
        <f t="shared" si="0"/>
        <v>#DIV/0!</v>
      </c>
    </row>
    <row r="13" spans="1:11" x14ac:dyDescent="0.3">
      <c r="A13" s="6">
        <v>1</v>
      </c>
      <c r="B13" s="5">
        <v>6</v>
      </c>
      <c r="C13" s="6">
        <v>6</v>
      </c>
      <c r="D13" s="7"/>
      <c r="E13" s="6"/>
      <c r="F13" s="6"/>
      <c r="G13" s="6"/>
      <c r="H13" s="6"/>
      <c r="I13" s="6"/>
      <c r="J13" s="6">
        <v>0</v>
      </c>
      <c r="K13" s="34" t="e">
        <f t="shared" si="0"/>
        <v>#DIV/0!</v>
      </c>
    </row>
    <row r="14" spans="1:11" x14ac:dyDescent="0.3">
      <c r="A14" s="6">
        <v>1</v>
      </c>
      <c r="B14" s="5">
        <v>7</v>
      </c>
      <c r="C14" s="6">
        <v>8</v>
      </c>
      <c r="D14" s="6"/>
      <c r="E14" s="6"/>
      <c r="F14" s="6"/>
      <c r="G14" s="6"/>
      <c r="H14" s="6"/>
      <c r="I14" s="6"/>
      <c r="J14" s="6">
        <v>0</v>
      </c>
      <c r="K14" s="34" t="e">
        <f t="shared" si="0"/>
        <v>#DIV/0!</v>
      </c>
    </row>
    <row r="15" spans="1:11" x14ac:dyDescent="0.3">
      <c r="A15" s="6">
        <v>1</v>
      </c>
      <c r="B15" s="5">
        <v>8</v>
      </c>
      <c r="C15" s="6">
        <v>3</v>
      </c>
      <c r="D15" s="6"/>
      <c r="E15" s="6"/>
      <c r="F15" s="6"/>
      <c r="G15" s="6"/>
      <c r="H15" s="6"/>
      <c r="I15" s="6"/>
      <c r="J15" s="6">
        <v>0</v>
      </c>
      <c r="K15" s="34" t="e">
        <f t="shared" si="0"/>
        <v>#DIV/0!</v>
      </c>
    </row>
    <row r="16" spans="1:11" ht="15" thickBot="1" x14ac:dyDescent="0.35">
      <c r="A16" s="10">
        <v>1</v>
      </c>
      <c r="B16" s="10">
        <v>9</v>
      </c>
      <c r="C16" s="10">
        <v>1</v>
      </c>
      <c r="D16" s="10"/>
      <c r="E16" s="10"/>
      <c r="F16" s="10"/>
      <c r="G16" s="10"/>
      <c r="H16" s="10"/>
      <c r="I16" s="10"/>
      <c r="J16" s="10">
        <v>0</v>
      </c>
      <c r="K16" s="38" t="e">
        <f t="shared" si="0"/>
        <v>#DIV/0!</v>
      </c>
    </row>
    <row r="17" spans="1:11" x14ac:dyDescent="0.3">
      <c r="A17" s="5">
        <v>2</v>
      </c>
      <c r="B17" s="5">
        <v>10</v>
      </c>
      <c r="C17" s="5">
        <v>2</v>
      </c>
      <c r="D17" s="5"/>
      <c r="E17" s="5"/>
      <c r="F17" s="5"/>
      <c r="G17" s="5"/>
      <c r="H17" s="5"/>
      <c r="I17" s="5"/>
      <c r="J17" s="5">
        <v>0</v>
      </c>
      <c r="K17" s="36" t="e">
        <f>(($G$21-G17)/$G$21)*100</f>
        <v>#DIV/0!</v>
      </c>
    </row>
    <row r="18" spans="1:11" x14ac:dyDescent="0.3">
      <c r="A18" s="6">
        <v>2</v>
      </c>
      <c r="B18" s="5">
        <v>11</v>
      </c>
      <c r="C18" s="6">
        <v>9</v>
      </c>
      <c r="D18" s="6"/>
      <c r="E18" s="6"/>
      <c r="F18" s="6"/>
      <c r="G18" s="6"/>
      <c r="H18" s="6"/>
      <c r="I18" s="6"/>
      <c r="J18" s="6">
        <v>0</v>
      </c>
      <c r="K18" s="34" t="e">
        <f t="shared" ref="K18:K25" si="1">(($G$21-G18)/$G$21)*100</f>
        <v>#DIV/0!</v>
      </c>
    </row>
    <row r="19" spans="1:11" x14ac:dyDescent="0.3">
      <c r="A19" s="6">
        <v>2</v>
      </c>
      <c r="B19" s="5">
        <v>12</v>
      </c>
      <c r="C19" s="6">
        <v>8</v>
      </c>
      <c r="D19" s="6"/>
      <c r="E19" s="7"/>
      <c r="F19" s="6"/>
      <c r="G19" s="6"/>
      <c r="H19" s="6"/>
      <c r="I19" s="6"/>
      <c r="J19" s="6">
        <v>0</v>
      </c>
      <c r="K19" s="34" t="e">
        <f t="shared" si="1"/>
        <v>#DIV/0!</v>
      </c>
    </row>
    <row r="20" spans="1:11" x14ac:dyDescent="0.3">
      <c r="A20" s="6">
        <v>2</v>
      </c>
      <c r="B20" s="5">
        <v>13</v>
      </c>
      <c r="C20" s="6">
        <v>3</v>
      </c>
      <c r="D20" s="6"/>
      <c r="E20" s="6"/>
      <c r="F20" s="6"/>
      <c r="G20" s="6"/>
      <c r="H20" s="6"/>
      <c r="I20" s="6"/>
      <c r="J20" s="6">
        <v>0</v>
      </c>
      <c r="K20" s="34" t="e">
        <f t="shared" si="1"/>
        <v>#DIV/0!</v>
      </c>
    </row>
    <row r="21" spans="1:11" x14ac:dyDescent="0.3">
      <c r="A21" s="6">
        <v>2</v>
      </c>
      <c r="B21" s="5">
        <v>14</v>
      </c>
      <c r="C21" s="6">
        <v>1</v>
      </c>
      <c r="D21" s="6"/>
      <c r="E21" s="6"/>
      <c r="F21" s="6"/>
      <c r="G21" s="6"/>
      <c r="H21" s="6"/>
      <c r="I21" s="6"/>
      <c r="J21" s="6">
        <v>0</v>
      </c>
      <c r="K21" s="34" t="e">
        <f t="shared" si="1"/>
        <v>#DIV/0!</v>
      </c>
    </row>
    <row r="22" spans="1:11" x14ac:dyDescent="0.3">
      <c r="A22" s="6">
        <v>2</v>
      </c>
      <c r="B22" s="5">
        <v>15</v>
      </c>
      <c r="C22" s="6">
        <v>7</v>
      </c>
      <c r="D22" s="6"/>
      <c r="E22" s="6"/>
      <c r="F22" s="6"/>
      <c r="G22" s="6"/>
      <c r="H22" s="6"/>
      <c r="I22" s="7"/>
      <c r="J22" s="6">
        <v>0</v>
      </c>
      <c r="K22" s="34" t="e">
        <f t="shared" si="1"/>
        <v>#DIV/0!</v>
      </c>
    </row>
    <row r="23" spans="1:11" x14ac:dyDescent="0.3">
      <c r="A23" s="6">
        <v>2</v>
      </c>
      <c r="B23" s="5">
        <v>16</v>
      </c>
      <c r="C23" s="6">
        <v>5</v>
      </c>
      <c r="D23" s="6"/>
      <c r="E23" s="6"/>
      <c r="F23" s="6"/>
      <c r="G23" s="6"/>
      <c r="H23" s="6"/>
      <c r="I23" s="6"/>
      <c r="J23" s="6">
        <v>0</v>
      </c>
      <c r="K23" s="34" t="e">
        <f t="shared" si="1"/>
        <v>#DIV/0!</v>
      </c>
    </row>
    <row r="24" spans="1:11" x14ac:dyDescent="0.3">
      <c r="A24" s="6">
        <v>2</v>
      </c>
      <c r="B24" s="5">
        <v>17</v>
      </c>
      <c r="C24" s="6">
        <v>4</v>
      </c>
      <c r="D24" s="6"/>
      <c r="E24" s="6"/>
      <c r="F24" s="6"/>
      <c r="G24" s="6"/>
      <c r="H24" s="6"/>
      <c r="I24" s="6"/>
      <c r="J24" s="6">
        <v>0</v>
      </c>
      <c r="K24" s="34" t="e">
        <f t="shared" si="1"/>
        <v>#DIV/0!</v>
      </c>
    </row>
    <row r="25" spans="1:11" ht="15" thickBot="1" x14ac:dyDescent="0.35">
      <c r="A25" s="10">
        <v>2</v>
      </c>
      <c r="B25" s="10">
        <v>18</v>
      </c>
      <c r="C25" s="10">
        <v>6</v>
      </c>
      <c r="D25" s="10"/>
      <c r="E25" s="10"/>
      <c r="F25" s="10"/>
      <c r="G25" s="10"/>
      <c r="H25" s="10"/>
      <c r="I25" s="10"/>
      <c r="J25" s="10">
        <v>0</v>
      </c>
      <c r="K25" s="38" t="e">
        <f t="shared" si="1"/>
        <v>#DIV/0!</v>
      </c>
    </row>
    <row r="26" spans="1:11" x14ac:dyDescent="0.3">
      <c r="A26" s="5">
        <v>3</v>
      </c>
      <c r="B26" s="5">
        <v>19</v>
      </c>
      <c r="C26" s="5">
        <v>7</v>
      </c>
      <c r="D26" s="5"/>
      <c r="E26" s="5"/>
      <c r="F26" s="5"/>
      <c r="G26" s="5"/>
      <c r="H26" s="5"/>
      <c r="I26" s="5"/>
      <c r="J26" s="5">
        <v>0</v>
      </c>
      <c r="K26" s="36" t="e">
        <f>(($G$31-G26)/$G$31)*100</f>
        <v>#DIV/0!</v>
      </c>
    </row>
    <row r="27" spans="1:11" x14ac:dyDescent="0.3">
      <c r="A27" s="6">
        <v>3</v>
      </c>
      <c r="B27" s="5">
        <v>20</v>
      </c>
      <c r="C27" s="6">
        <v>3</v>
      </c>
      <c r="D27" s="6"/>
      <c r="E27" s="6"/>
      <c r="F27" s="6"/>
      <c r="G27" s="6"/>
      <c r="H27" s="6"/>
      <c r="I27" s="6"/>
      <c r="J27" s="6">
        <v>0</v>
      </c>
      <c r="K27" s="34" t="e">
        <f t="shared" ref="K27:K34" si="2">(($G$31-G27)/$G$31)*100</f>
        <v>#DIV/0!</v>
      </c>
    </row>
    <row r="28" spans="1:11" x14ac:dyDescent="0.3">
      <c r="A28" s="6">
        <v>3</v>
      </c>
      <c r="B28" s="5">
        <v>21</v>
      </c>
      <c r="C28" s="6">
        <v>9</v>
      </c>
      <c r="D28" s="6"/>
      <c r="E28" s="6"/>
      <c r="F28" s="6"/>
      <c r="G28" s="6"/>
      <c r="H28" s="6"/>
      <c r="I28" s="6"/>
      <c r="J28" s="6">
        <v>0</v>
      </c>
      <c r="K28" s="34" t="e">
        <f t="shared" si="2"/>
        <v>#DIV/0!</v>
      </c>
    </row>
    <row r="29" spans="1:11" x14ac:dyDescent="0.3">
      <c r="A29" s="6">
        <v>3</v>
      </c>
      <c r="B29" s="5">
        <v>22</v>
      </c>
      <c r="C29" s="6">
        <v>4</v>
      </c>
      <c r="D29" s="6"/>
      <c r="E29" s="6"/>
      <c r="F29" s="6"/>
      <c r="G29" s="7"/>
      <c r="H29" s="6"/>
      <c r="I29" s="6"/>
      <c r="J29" s="6">
        <v>0</v>
      </c>
      <c r="K29" s="34" t="e">
        <f t="shared" si="2"/>
        <v>#DIV/0!</v>
      </c>
    </row>
    <row r="30" spans="1:11" x14ac:dyDescent="0.3">
      <c r="A30" s="6">
        <v>3</v>
      </c>
      <c r="B30" s="5">
        <v>23</v>
      </c>
      <c r="C30" s="6">
        <v>8</v>
      </c>
      <c r="D30" s="6"/>
      <c r="E30" s="6"/>
      <c r="F30" s="6"/>
      <c r="G30" s="6"/>
      <c r="H30" s="6"/>
      <c r="I30" s="6"/>
      <c r="J30" s="6">
        <v>0</v>
      </c>
      <c r="K30" s="34" t="e">
        <f t="shared" si="2"/>
        <v>#DIV/0!</v>
      </c>
    </row>
    <row r="31" spans="1:11" x14ac:dyDescent="0.3">
      <c r="A31" s="6">
        <v>3</v>
      </c>
      <c r="B31" s="5">
        <v>24</v>
      </c>
      <c r="C31" s="6">
        <v>1</v>
      </c>
      <c r="D31" s="6"/>
      <c r="E31" s="6"/>
      <c r="F31" s="6"/>
      <c r="G31" s="6"/>
      <c r="H31" s="6"/>
      <c r="I31" s="6"/>
      <c r="J31" s="6">
        <v>0</v>
      </c>
      <c r="K31" s="34" t="e">
        <f t="shared" si="2"/>
        <v>#DIV/0!</v>
      </c>
    </row>
    <row r="32" spans="1:11" x14ac:dyDescent="0.3">
      <c r="A32" s="6">
        <v>3</v>
      </c>
      <c r="B32" s="5">
        <v>25</v>
      </c>
      <c r="C32" s="6">
        <v>6</v>
      </c>
      <c r="D32" s="6"/>
      <c r="E32" s="6"/>
      <c r="F32" s="6"/>
      <c r="G32" s="6"/>
      <c r="H32" s="6"/>
      <c r="I32" s="6"/>
      <c r="J32" s="6">
        <v>0</v>
      </c>
      <c r="K32" s="34" t="e">
        <f t="shared" si="2"/>
        <v>#DIV/0!</v>
      </c>
    </row>
    <row r="33" spans="1:11" x14ac:dyDescent="0.3">
      <c r="A33" s="6">
        <v>3</v>
      </c>
      <c r="B33" s="5">
        <v>26</v>
      </c>
      <c r="C33" s="6">
        <v>2</v>
      </c>
      <c r="D33" s="7"/>
      <c r="E33" s="6"/>
      <c r="F33" s="6"/>
      <c r="G33" s="6"/>
      <c r="H33" s="6"/>
      <c r="I33" s="6"/>
      <c r="J33" s="6">
        <v>0</v>
      </c>
      <c r="K33" s="34" t="e">
        <f t="shared" si="2"/>
        <v>#DIV/0!</v>
      </c>
    </row>
    <row r="34" spans="1:11" ht="15" thickBot="1" x14ac:dyDescent="0.35">
      <c r="A34" s="10">
        <v>3</v>
      </c>
      <c r="B34" s="10">
        <v>27</v>
      </c>
      <c r="C34" s="10">
        <v>5</v>
      </c>
      <c r="D34" s="10"/>
      <c r="E34" s="10"/>
      <c r="F34" s="10"/>
      <c r="G34" s="10"/>
      <c r="H34" s="10"/>
      <c r="I34" s="10"/>
      <c r="J34" s="10">
        <v>0</v>
      </c>
      <c r="K34" s="38" t="e">
        <f t="shared" si="2"/>
        <v>#DIV/0!</v>
      </c>
    </row>
    <row r="35" spans="1:11" x14ac:dyDescent="0.3">
      <c r="A35" s="5">
        <v>4</v>
      </c>
      <c r="B35" s="5">
        <v>28</v>
      </c>
      <c r="C35" s="9">
        <v>7</v>
      </c>
      <c r="D35" s="5"/>
      <c r="E35" s="5"/>
      <c r="F35" s="5"/>
      <c r="G35" s="5"/>
      <c r="H35" s="5"/>
      <c r="I35" s="5"/>
      <c r="J35" s="5">
        <v>0</v>
      </c>
      <c r="K35" s="36" t="e">
        <f>(($G$42-G35)/$G$42)*100</f>
        <v>#DIV/0!</v>
      </c>
    </row>
    <row r="36" spans="1:11" x14ac:dyDescent="0.3">
      <c r="A36" s="6">
        <v>4</v>
      </c>
      <c r="B36" s="5">
        <v>29</v>
      </c>
      <c r="C36" s="6">
        <v>3</v>
      </c>
      <c r="D36" s="6"/>
      <c r="E36" s="6"/>
      <c r="F36" s="6"/>
      <c r="G36" s="6"/>
      <c r="H36" s="6"/>
      <c r="I36" s="6"/>
      <c r="J36" s="6">
        <v>0</v>
      </c>
      <c r="K36" s="34" t="e">
        <f t="shared" ref="K36:K43" si="3">(($G$42-G36)/$G$42)*100</f>
        <v>#DIV/0!</v>
      </c>
    </row>
    <row r="37" spans="1:11" x14ac:dyDescent="0.3">
      <c r="A37" s="6">
        <v>4</v>
      </c>
      <c r="B37" s="5">
        <v>30</v>
      </c>
      <c r="C37" s="6">
        <v>4</v>
      </c>
      <c r="D37" s="6"/>
      <c r="E37" s="6"/>
      <c r="F37" s="6"/>
      <c r="G37" s="6"/>
      <c r="H37" s="6"/>
      <c r="I37" s="6"/>
      <c r="J37" s="6">
        <v>0</v>
      </c>
      <c r="K37" s="34" t="e">
        <f t="shared" si="3"/>
        <v>#DIV/0!</v>
      </c>
    </row>
    <row r="38" spans="1:11" x14ac:dyDescent="0.3">
      <c r="A38" s="6">
        <v>4</v>
      </c>
      <c r="B38" s="5">
        <v>31</v>
      </c>
      <c r="C38" s="6">
        <v>6</v>
      </c>
      <c r="D38" s="6"/>
      <c r="E38" s="6"/>
      <c r="F38" s="6"/>
      <c r="G38" s="6"/>
      <c r="H38" s="6"/>
      <c r="I38" s="6"/>
      <c r="J38" s="6">
        <v>0</v>
      </c>
      <c r="K38" s="34" t="e">
        <f t="shared" si="3"/>
        <v>#DIV/0!</v>
      </c>
    </row>
    <row r="39" spans="1:11" x14ac:dyDescent="0.3">
      <c r="A39" s="6">
        <v>4</v>
      </c>
      <c r="B39" s="5">
        <v>32</v>
      </c>
      <c r="C39" s="6">
        <v>5</v>
      </c>
      <c r="D39" s="6"/>
      <c r="E39" s="6"/>
      <c r="F39" s="6"/>
      <c r="G39" s="6"/>
      <c r="H39" s="6"/>
      <c r="I39" s="6"/>
      <c r="J39" s="6">
        <v>0</v>
      </c>
      <c r="K39" s="34" t="e">
        <f t="shared" si="3"/>
        <v>#DIV/0!</v>
      </c>
    </row>
    <row r="40" spans="1:11" x14ac:dyDescent="0.3">
      <c r="A40" s="6">
        <v>4</v>
      </c>
      <c r="B40" s="5">
        <v>33</v>
      </c>
      <c r="C40" s="6">
        <v>9</v>
      </c>
      <c r="D40" s="6"/>
      <c r="E40" s="6"/>
      <c r="F40" s="6"/>
      <c r="G40" s="6"/>
      <c r="H40" s="6"/>
      <c r="I40" s="6"/>
      <c r="J40" s="6">
        <v>0</v>
      </c>
      <c r="K40" s="34" t="e">
        <f t="shared" si="3"/>
        <v>#DIV/0!</v>
      </c>
    </row>
    <row r="41" spans="1:11" x14ac:dyDescent="0.3">
      <c r="A41" s="6">
        <v>4</v>
      </c>
      <c r="B41" s="5">
        <v>34</v>
      </c>
      <c r="C41" s="6">
        <v>2</v>
      </c>
      <c r="D41" s="6"/>
      <c r="E41" s="6"/>
      <c r="F41" s="6"/>
      <c r="G41" s="6"/>
      <c r="H41" s="6"/>
      <c r="I41" s="6"/>
      <c r="J41" s="6">
        <v>0</v>
      </c>
      <c r="K41" s="34" t="e">
        <f t="shared" si="3"/>
        <v>#DIV/0!</v>
      </c>
    </row>
    <row r="42" spans="1:11" x14ac:dyDescent="0.3">
      <c r="A42" s="6">
        <v>4</v>
      </c>
      <c r="B42" s="5">
        <v>35</v>
      </c>
      <c r="C42" s="6">
        <v>1</v>
      </c>
      <c r="D42" s="6"/>
      <c r="E42" s="6"/>
      <c r="F42" s="6"/>
      <c r="G42" s="6"/>
      <c r="H42" s="6"/>
      <c r="I42" s="6"/>
      <c r="J42" s="6">
        <v>0</v>
      </c>
      <c r="K42" s="34" t="e">
        <f t="shared" si="3"/>
        <v>#DIV/0!</v>
      </c>
    </row>
    <row r="43" spans="1:11" ht="15" thickBot="1" x14ac:dyDescent="0.35">
      <c r="A43" s="11">
        <v>4</v>
      </c>
      <c r="B43" s="10">
        <v>36</v>
      </c>
      <c r="C43" s="10">
        <v>8</v>
      </c>
      <c r="D43" s="11"/>
      <c r="E43" s="11"/>
      <c r="F43" s="11"/>
      <c r="G43" s="11"/>
      <c r="H43" s="11"/>
      <c r="I43" s="11"/>
      <c r="J43" s="12">
        <v>0</v>
      </c>
      <c r="K43" s="38" t="e">
        <f t="shared" si="3"/>
        <v>#DIV/0!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2"/>
  <sheetViews>
    <sheetView workbookViewId="0">
      <selection activeCell="J9" sqref="J9"/>
    </sheetView>
  </sheetViews>
  <sheetFormatPr defaultRowHeight="14.4" x14ac:dyDescent="0.3"/>
  <cols>
    <col min="1" max="1" width="20" bestFit="1" customWidth="1"/>
  </cols>
  <sheetData>
    <row r="1" spans="1:12" ht="15.6" thickTop="1" thickBot="1" x14ac:dyDescent="0.35">
      <c r="A1" s="13" t="s">
        <v>33</v>
      </c>
    </row>
    <row r="2" spans="1:12" ht="15.6" thickTop="1" thickBot="1" x14ac:dyDescent="0.35">
      <c r="A2" s="13" t="s">
        <v>34</v>
      </c>
    </row>
    <row r="3" spans="1:12" ht="50.4" thickTop="1" thickBot="1" x14ac:dyDescent="0.35">
      <c r="A3" s="13" t="s">
        <v>35</v>
      </c>
      <c r="H3" s="40" t="s">
        <v>42</v>
      </c>
      <c r="I3" s="41"/>
      <c r="J3" s="14" t="s">
        <v>43</v>
      </c>
      <c r="K3" s="14" t="s">
        <v>44</v>
      </c>
      <c r="L3" s="15" t="s">
        <v>45</v>
      </c>
    </row>
    <row r="4" spans="1:12" ht="19.2" thickTop="1" thickBot="1" x14ac:dyDescent="0.35">
      <c r="A4" s="13" t="s">
        <v>36</v>
      </c>
      <c r="H4" s="16"/>
      <c r="I4" s="17">
        <v>7</v>
      </c>
      <c r="J4" s="17">
        <v>8</v>
      </c>
      <c r="K4" s="18"/>
      <c r="L4" s="19">
        <v>3</v>
      </c>
    </row>
    <row r="5" spans="1:12" ht="19.2" thickTop="1" thickBot="1" x14ac:dyDescent="0.35">
      <c r="A5" s="13" t="s">
        <v>37</v>
      </c>
      <c r="H5" s="20">
        <v>9</v>
      </c>
      <c r="I5" s="17">
        <v>2</v>
      </c>
      <c r="J5" s="17">
        <v>3</v>
      </c>
      <c r="K5" s="17">
        <v>9</v>
      </c>
      <c r="L5" s="19">
        <v>4</v>
      </c>
    </row>
    <row r="6" spans="1:12" ht="19.2" thickTop="1" thickBot="1" x14ac:dyDescent="0.35">
      <c r="A6" s="13" t="s">
        <v>38</v>
      </c>
      <c r="H6" s="20">
        <v>5</v>
      </c>
      <c r="I6" s="17">
        <v>6</v>
      </c>
      <c r="J6" s="17">
        <v>4</v>
      </c>
      <c r="K6" s="17">
        <v>4</v>
      </c>
      <c r="L6" s="21">
        <v>6</v>
      </c>
    </row>
    <row r="7" spans="1:12" ht="19.2" thickTop="1" thickBot="1" x14ac:dyDescent="0.35">
      <c r="A7" s="13" t="s">
        <v>39</v>
      </c>
      <c r="H7" s="22">
        <v>4</v>
      </c>
      <c r="I7" s="17">
        <v>8</v>
      </c>
      <c r="J7" s="17">
        <v>7</v>
      </c>
      <c r="K7" s="17">
        <v>8</v>
      </c>
      <c r="L7" s="21">
        <v>8</v>
      </c>
    </row>
    <row r="8" spans="1:12" ht="19.2" thickTop="1" thickBot="1" x14ac:dyDescent="0.35">
      <c r="A8" s="13" t="s">
        <v>40</v>
      </c>
      <c r="H8" s="23"/>
      <c r="I8" s="17">
        <v>3</v>
      </c>
      <c r="J8" s="17">
        <v>5</v>
      </c>
      <c r="K8" s="17">
        <v>1</v>
      </c>
      <c r="L8" s="21">
        <v>9</v>
      </c>
    </row>
    <row r="9" spans="1:12" ht="19.2" thickTop="1" thickBot="1" x14ac:dyDescent="0.35">
      <c r="A9" s="13" t="s">
        <v>41</v>
      </c>
      <c r="H9" s="23"/>
      <c r="I9" s="24">
        <v>1</v>
      </c>
      <c r="J9" s="17">
        <v>1</v>
      </c>
      <c r="K9" s="17">
        <v>6</v>
      </c>
      <c r="L9" s="21">
        <v>2</v>
      </c>
    </row>
    <row r="10" spans="1:12" ht="19.2" thickTop="1" thickBot="1" x14ac:dyDescent="0.35">
      <c r="H10" s="23"/>
      <c r="I10" s="25">
        <v>2</v>
      </c>
      <c r="J10" s="24">
        <v>6</v>
      </c>
      <c r="K10" s="17">
        <v>2</v>
      </c>
      <c r="L10" s="21">
        <v>1</v>
      </c>
    </row>
    <row r="11" spans="1:12" ht="18.600000000000001" thickBot="1" x14ac:dyDescent="0.35">
      <c r="H11" s="23"/>
      <c r="I11" s="26">
        <v>9</v>
      </c>
      <c r="J11" s="27">
        <v>7</v>
      </c>
      <c r="K11" s="24">
        <v>5</v>
      </c>
      <c r="L11" s="28">
        <v>5</v>
      </c>
    </row>
    <row r="12" spans="1:12" ht="18.600000000000001" thickBot="1" x14ac:dyDescent="0.35">
      <c r="H12" s="29"/>
      <c r="I12" s="30"/>
      <c r="J12" s="24">
        <v>3</v>
      </c>
      <c r="K12" s="24">
        <v>7</v>
      </c>
      <c r="L12" s="31"/>
    </row>
  </sheetData>
  <mergeCells count="1"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03.07.25</vt:lpstr>
      <vt:lpstr>16.07.25</vt:lpstr>
      <vt:lpstr>31.07.25</vt:lpstr>
      <vt:lpstr>08.08.25</vt:lpstr>
      <vt:lpstr>13.08.25</vt:lpstr>
      <vt:lpstr>22.08.25</vt:lpstr>
      <vt:lpstr>26.08.25</vt:lpstr>
      <vt:lpstr>02.09.25</vt:lpstr>
      <vt:lpstr>09.09.25</vt:lpstr>
      <vt:lpstr>16.09.25</vt:lpstr>
      <vt:lpstr>02.10.25</vt:lpstr>
      <vt:lpstr>09.10.25</vt:lpstr>
      <vt:lpstr>15.10.25</vt:lpstr>
      <vt:lpstr>23.10.25</vt:lpstr>
      <vt:lpstr>Sheet1</vt:lpstr>
      <vt:lpstr>Trial Plan</vt:lpstr>
      <vt:lpstr>'Trial Plan'!_Hlk202360713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Hargreaves</dc:creator>
  <cp:lastModifiedBy>Luke Matthews</cp:lastModifiedBy>
  <dcterms:created xsi:type="dcterms:W3CDTF">2021-03-23T15:20:00Z</dcterms:created>
  <dcterms:modified xsi:type="dcterms:W3CDTF">2025-10-23T10:01:40Z</dcterms:modified>
</cp:coreProperties>
</file>